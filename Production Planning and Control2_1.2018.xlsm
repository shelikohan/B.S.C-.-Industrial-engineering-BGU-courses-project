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00000000-0000-0000-0000-000000000000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C:\Users\sheli\Desktop\"/>
    </mc:Choice>
  </mc:AlternateContent>
  <bookViews>
    <workbookView xWindow="0" yWindow="0" windowWidth="28800" windowHeight="12300" xr2:uid="{00000000-000D-0000-FFFF-FFFF00000000}"/>
  </bookViews>
  <sheets>
    <sheet name="INPUT-OUTPUT" sheetId="1" r:id="rId1"/>
    <sheet name="Find k opt" sheetId="4" r:id="rId2"/>
    <sheet name="sortByWeight" sheetId="3" r:id="rId3"/>
    <sheet name="solver part B" sheetId="7" r:id="rId4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olver_adj" localSheetId="1" hidden="1">'Find k opt'!$C$2:$C$8,'Find k opt'!$E$2:$E$8,'Find k opt'!$G$2:$G$8,'Find k opt'!$I$2:$I$8,'Find k opt'!$K$2:$K$8,'Find k opt'!$M$2:$M$8</definedName>
    <definedName name="solver_adj" localSheetId="3" hidden="1">'solver part B'!$C$8:$K$16,'solver part B'!$C$18:$K$18</definedName>
    <definedName name="solver_cvg" localSheetId="1" hidden="1">0.0001</definedName>
    <definedName name="solver_cvg" localSheetId="3" hidden="1">0.0001</definedName>
    <definedName name="solver_drv" localSheetId="1" hidden="1">1</definedName>
    <definedName name="solver_drv" localSheetId="3" hidden="1">2</definedName>
    <definedName name="solver_eng" localSheetId="1" hidden="1">2</definedName>
    <definedName name="solver_eng" localSheetId="0" hidden="1">1</definedName>
    <definedName name="solver_eng" localSheetId="3" hidden="1">2</definedName>
    <definedName name="solver_est" localSheetId="1" hidden="1">1</definedName>
    <definedName name="solver_est" localSheetId="3" hidden="1">1</definedName>
    <definedName name="solver_itr" localSheetId="1" hidden="1">2147483647</definedName>
    <definedName name="solver_itr" localSheetId="3" hidden="1">2147483647</definedName>
    <definedName name="solver_lhs1" localSheetId="1" hidden="1">'Find k opt'!$C$10</definedName>
    <definedName name="solver_lhs1" localSheetId="3" hidden="1">'solver part B'!$C$18:$K$18</definedName>
    <definedName name="solver_lhs10" localSheetId="1" hidden="1">'Find k opt'!$C$19</definedName>
    <definedName name="solver_lhs10" localSheetId="3" hidden="1">'solver part B'!$L$13</definedName>
    <definedName name="solver_lhs11" localSheetId="1" hidden="1">'Find k opt'!$C$20</definedName>
    <definedName name="solver_lhs11" localSheetId="3" hidden="1">'solver part B'!$L$11</definedName>
    <definedName name="solver_lhs12" localSheetId="1" hidden="1">'Find k opt'!$C$21</definedName>
    <definedName name="solver_lhs12" localSheetId="3" hidden="1">'solver part B'!$L$10</definedName>
    <definedName name="solver_lhs13" localSheetId="1" hidden="1">'Find k opt'!$C$22</definedName>
    <definedName name="solver_lhs13" localSheetId="3" hidden="1">'solver part B'!$H$19</definedName>
    <definedName name="solver_lhs14" localSheetId="1" hidden="1">'Find k opt'!$C$23</definedName>
    <definedName name="solver_lhs14" localSheetId="3" hidden="1">'solver part B'!$L$15</definedName>
    <definedName name="solver_lhs15" localSheetId="1" hidden="1">'Find k opt'!$C$24</definedName>
    <definedName name="solver_lhs15" localSheetId="3" hidden="1">'solver part B'!$L$14</definedName>
    <definedName name="solver_lhs16" localSheetId="1" hidden="1">'Find k opt'!$C$25</definedName>
    <definedName name="solver_lhs16" localSheetId="3" hidden="1">'solver part B'!$L$8</definedName>
    <definedName name="solver_lhs17" localSheetId="1" hidden="1">'Find k opt'!$C$26</definedName>
    <definedName name="solver_lhs17" localSheetId="3" hidden="1">'solver part B'!$L$16</definedName>
    <definedName name="solver_lhs18" localSheetId="1" hidden="1">'Find k opt'!$C$27</definedName>
    <definedName name="solver_lhs18" localSheetId="3" hidden="1">'solver part B'!$L$15</definedName>
    <definedName name="solver_lhs19" localSheetId="1" hidden="1">'Find k opt'!$C$28</definedName>
    <definedName name="solver_lhs19" localSheetId="3" hidden="1">'solver part B'!$L$12</definedName>
    <definedName name="solver_lhs2" localSheetId="1" hidden="1">'Find k opt'!$C$11</definedName>
    <definedName name="solver_lhs2" localSheetId="3" hidden="1">'solver part B'!$D$19</definedName>
    <definedName name="solver_lhs20" localSheetId="1" hidden="1">'Find k opt'!$C$29</definedName>
    <definedName name="solver_lhs20" localSheetId="3" hidden="1">'solver part B'!$M$25</definedName>
    <definedName name="solver_lhs21" localSheetId="1" hidden="1">'Find k opt'!$C$2:$C$8</definedName>
    <definedName name="solver_lhs21" localSheetId="3" hidden="1">'solver part B'!$M$26</definedName>
    <definedName name="solver_lhs22" localSheetId="1" hidden="1">'Find k opt'!$C$30</definedName>
    <definedName name="solver_lhs22" localSheetId="3" hidden="1">'solver part B'!$M$27</definedName>
    <definedName name="solver_lhs23" localSheetId="1" hidden="1">'Find k opt'!$C$31</definedName>
    <definedName name="solver_lhs23" localSheetId="3" hidden="1">'solver part B'!$M$24</definedName>
    <definedName name="solver_lhs24" localSheetId="1" hidden="1">'Find k opt'!$C$8</definedName>
    <definedName name="solver_lhs24" localSheetId="3" hidden="1">'solver part B'!$M$29</definedName>
    <definedName name="solver_lhs25" localSheetId="1" hidden="1">'Find k opt'!$E$2:$E$8</definedName>
    <definedName name="solver_lhs25" localSheetId="3" hidden="1">'solver part B'!$M$28</definedName>
    <definedName name="solver_lhs26" localSheetId="1" hidden="1">'Find k opt'!$E$8</definedName>
    <definedName name="solver_lhs26" localSheetId="3" hidden="1">'solver part B'!$M$32</definedName>
    <definedName name="solver_lhs27" localSheetId="1" hidden="1">'Find k opt'!$G$2:$G$8</definedName>
    <definedName name="solver_lhs27" localSheetId="3" hidden="1">'solver part B'!$L$9</definedName>
    <definedName name="solver_lhs28" localSheetId="1" hidden="1">'Find k opt'!$G$8</definedName>
    <definedName name="solver_lhs28" localSheetId="3" hidden="1">'solver part B'!$M$37</definedName>
    <definedName name="solver_lhs29" localSheetId="1" hidden="1">'Find k opt'!$I$2:$I$8</definedName>
    <definedName name="solver_lhs29" localSheetId="3" hidden="1">'solver part B'!$M$34</definedName>
    <definedName name="solver_lhs3" localSheetId="1" hidden="1">'Find k opt'!$C$12</definedName>
    <definedName name="solver_lhs3" localSheetId="3" hidden="1">'solver part B'!$E$19</definedName>
    <definedName name="solver_lhs30" localSheetId="1" hidden="1">'Find k opt'!$I$8</definedName>
    <definedName name="solver_lhs30" localSheetId="3" hidden="1">'solver part B'!$M$35</definedName>
    <definedName name="solver_lhs31" localSheetId="1" hidden="1">'Find k opt'!$K$2:$K$8</definedName>
    <definedName name="solver_lhs31" localSheetId="3" hidden="1">'solver part B'!$M$33</definedName>
    <definedName name="solver_lhs32" localSheetId="1" hidden="1">'Find k opt'!$K$8</definedName>
    <definedName name="solver_lhs32" localSheetId="3" hidden="1">'solver part B'!$M$30</definedName>
    <definedName name="solver_lhs33" localSheetId="1" hidden="1">'Find k opt'!$M$2:$M$8</definedName>
    <definedName name="solver_lhs33" localSheetId="3" hidden="1">'solver part B'!$M$31</definedName>
    <definedName name="solver_lhs34" localSheetId="3" hidden="1">'solver part B'!$C$8:$K$16</definedName>
    <definedName name="solver_lhs35" localSheetId="3" hidden="1">'solver part B'!$M$38</definedName>
    <definedName name="solver_lhs36" localSheetId="3" hidden="1">'solver part B'!$M$39</definedName>
    <definedName name="solver_lhs37" localSheetId="3" hidden="1">'solver part B'!$M$40</definedName>
    <definedName name="solver_lhs38" localSheetId="3" hidden="1">'solver part B'!$M$36</definedName>
    <definedName name="solver_lhs39" localSheetId="3" hidden="1">'solver part B'!$M$41</definedName>
    <definedName name="solver_lhs4" localSheetId="1" hidden="1">'Find k opt'!$C$13</definedName>
    <definedName name="solver_lhs4" localSheetId="3" hidden="1">'solver part B'!$F$19</definedName>
    <definedName name="solver_lhs40" localSheetId="3" hidden="1">'solver part B'!$M$42</definedName>
    <definedName name="solver_lhs41" localSheetId="3" hidden="1">'solver part B'!$M$43</definedName>
    <definedName name="solver_lhs42" localSheetId="3" hidden="1">'solver part B'!$C$18:$K$18</definedName>
    <definedName name="solver_lhs43" localSheetId="3" hidden="1">'solver part B'!$C$18:$K$18</definedName>
    <definedName name="solver_lhs44" localSheetId="3" hidden="1">'solver part B'!$C$18:$K$18</definedName>
    <definedName name="solver_lhs45" localSheetId="3" hidden="1">'solver part B'!$E$18</definedName>
    <definedName name="solver_lhs46" localSheetId="3" hidden="1">'solver part B'!$E$18</definedName>
    <definedName name="solver_lhs47" localSheetId="3" hidden="1">'solver part B'!$E$18</definedName>
    <definedName name="solver_lhs48" localSheetId="3" hidden="1">'solver part B'!$E$18</definedName>
    <definedName name="solver_lhs49" localSheetId="3" hidden="1">'solver part B'!$E$18</definedName>
    <definedName name="solver_lhs5" localSheetId="1" hidden="1">'Find k opt'!$C$14</definedName>
    <definedName name="solver_lhs5" localSheetId="3" hidden="1">'solver part B'!$G$19</definedName>
    <definedName name="solver_lhs50" localSheetId="3" hidden="1">'solver part B'!$E$18</definedName>
    <definedName name="solver_lhs51" localSheetId="3" hidden="1">'solver part B'!$E$18</definedName>
    <definedName name="solver_lhs52" localSheetId="3" hidden="1">'solver part B'!$E$18</definedName>
    <definedName name="solver_lhs53" localSheetId="3" hidden="1">'solver part B'!$E$18</definedName>
    <definedName name="solver_lhs54" localSheetId="3" hidden="1">'solver part B'!$E$18</definedName>
    <definedName name="solver_lhs55" localSheetId="3" hidden="1">'solver part B'!$M$43</definedName>
    <definedName name="solver_lhs56" localSheetId="3" hidden="1">'solver part B'!$D$18</definedName>
    <definedName name="solver_lhs57" localSheetId="3" hidden="1">'solver part B'!$D$18</definedName>
    <definedName name="solver_lhs6" localSheetId="1" hidden="1">'Find k opt'!$C$15</definedName>
    <definedName name="solver_lhs6" localSheetId="3" hidden="1">'solver part B'!$C$19</definedName>
    <definedName name="solver_lhs7" localSheetId="1" hidden="1">'Find k opt'!$C$16</definedName>
    <definedName name="solver_lhs7" localSheetId="3" hidden="1">'solver part B'!$J$19</definedName>
    <definedName name="solver_lhs8" localSheetId="1" hidden="1">'Find k opt'!$C$17</definedName>
    <definedName name="solver_lhs8" localSheetId="3" hidden="1">'solver part B'!$K$19</definedName>
    <definedName name="solver_lhs9" localSheetId="1" hidden="1">'Find k opt'!$C$18</definedName>
    <definedName name="solver_lhs9" localSheetId="3" hidden="1">'solver part B'!$I$19</definedName>
    <definedName name="solver_mip" localSheetId="1" hidden="1">2147483647</definedName>
    <definedName name="solver_mip" localSheetId="3" hidden="1">2147483647</definedName>
    <definedName name="solver_mni" localSheetId="1" hidden="1">30</definedName>
    <definedName name="solver_mni" localSheetId="3" hidden="1">30</definedName>
    <definedName name="solver_mrt" localSheetId="1" hidden="1">0.075</definedName>
    <definedName name="solver_mrt" localSheetId="3" hidden="1">0.075</definedName>
    <definedName name="solver_msl" localSheetId="1" hidden="1">2</definedName>
    <definedName name="solver_msl" localSheetId="3" hidden="1">2</definedName>
    <definedName name="solver_neg" localSheetId="1" hidden="1">1</definedName>
    <definedName name="solver_neg" localSheetId="0" hidden="1">1</definedName>
    <definedName name="solver_neg" localSheetId="3" hidden="1">1</definedName>
    <definedName name="solver_nod" localSheetId="1" hidden="1">2147483647</definedName>
    <definedName name="solver_nod" localSheetId="3" hidden="1">2147483647</definedName>
    <definedName name="solver_num" localSheetId="1" hidden="1">33</definedName>
    <definedName name="solver_num" localSheetId="0" hidden="1">0</definedName>
    <definedName name="solver_num" localSheetId="3" hidden="1">41</definedName>
    <definedName name="solver_nwt" localSheetId="1" hidden="1">1</definedName>
    <definedName name="solver_nwt" localSheetId="3" hidden="1">1</definedName>
    <definedName name="solver_opt" localSheetId="1" hidden="1">'Find k opt'!$C$9</definedName>
    <definedName name="solver_opt" localSheetId="0" hidden="1">'INPUT-OUTPUT'!$B$8</definedName>
    <definedName name="solver_opt" localSheetId="3" hidden="1">'solver part B'!$C$23</definedName>
    <definedName name="solver_pre" localSheetId="1" hidden="1">0.000001</definedName>
    <definedName name="solver_pre" localSheetId="3" hidden="1">0.000001</definedName>
    <definedName name="solver_rbv" localSheetId="1" hidden="1">1</definedName>
    <definedName name="solver_rbv" localSheetId="3" hidden="1">2</definedName>
    <definedName name="solver_rel1" localSheetId="1" hidden="1">2</definedName>
    <definedName name="solver_rel1" localSheetId="3" hidden="1">5</definedName>
    <definedName name="solver_rel10" localSheetId="1" hidden="1">1</definedName>
    <definedName name="solver_rel10" localSheetId="3" hidden="1">2</definedName>
    <definedName name="solver_rel11" localSheetId="1" hidden="1">1</definedName>
    <definedName name="solver_rel11" localSheetId="3" hidden="1">2</definedName>
    <definedName name="solver_rel12" localSheetId="1" hidden="1">1</definedName>
    <definedName name="solver_rel12" localSheetId="3" hidden="1">2</definedName>
    <definedName name="solver_rel13" localSheetId="1" hidden="1">3</definedName>
    <definedName name="solver_rel13" localSheetId="3" hidden="1">1</definedName>
    <definedName name="solver_rel14" localSheetId="1" hidden="1">3</definedName>
    <definedName name="solver_rel14" localSheetId="3" hidden="1">2</definedName>
    <definedName name="solver_rel15" localSheetId="1" hidden="1">3</definedName>
    <definedName name="solver_rel15" localSheetId="3" hidden="1">2</definedName>
    <definedName name="solver_rel16" localSheetId="1" hidden="1">3</definedName>
    <definedName name="solver_rel16" localSheetId="3" hidden="1">2</definedName>
    <definedName name="solver_rel17" localSheetId="1" hidden="1">3</definedName>
    <definedName name="solver_rel17" localSheetId="3" hidden="1">2</definedName>
    <definedName name="solver_rel18" localSheetId="1" hidden="1">3</definedName>
    <definedName name="solver_rel18" localSheetId="3" hidden="1">2</definedName>
    <definedName name="solver_rel19" localSheetId="1" hidden="1">1</definedName>
    <definedName name="solver_rel19" localSheetId="3" hidden="1">2</definedName>
    <definedName name="solver_rel2" localSheetId="1" hidden="1">2</definedName>
    <definedName name="solver_rel2" localSheetId="3" hidden="1">1</definedName>
    <definedName name="solver_rel20" localSheetId="1" hidden="1">1</definedName>
    <definedName name="solver_rel20" localSheetId="3" hidden="1">3</definedName>
    <definedName name="solver_rel21" localSheetId="1" hidden="1">5</definedName>
    <definedName name="solver_rel21" localSheetId="3" hidden="1">3</definedName>
    <definedName name="solver_rel22" localSheetId="1" hidden="1">1</definedName>
    <definedName name="solver_rel22" localSheetId="3" hidden="1">3</definedName>
    <definedName name="solver_rel23" localSheetId="1" hidden="1">1</definedName>
    <definedName name="solver_rel23" localSheetId="3" hidden="1">3</definedName>
    <definedName name="solver_rel24" localSheetId="1" hidden="1">3</definedName>
    <definedName name="solver_rel24" localSheetId="3" hidden="1">3</definedName>
    <definedName name="solver_rel25" localSheetId="1" hidden="1">5</definedName>
    <definedName name="solver_rel25" localSheetId="3" hidden="1">3</definedName>
    <definedName name="solver_rel26" localSheetId="1" hidden="1">3</definedName>
    <definedName name="solver_rel26" localSheetId="3" hidden="1">3</definedName>
    <definedName name="solver_rel27" localSheetId="1" hidden="1">5</definedName>
    <definedName name="solver_rel27" localSheetId="3" hidden="1">2</definedName>
    <definedName name="solver_rel28" localSheetId="1" hidden="1">3</definedName>
    <definedName name="solver_rel28" localSheetId="3" hidden="1">1</definedName>
    <definedName name="solver_rel29" localSheetId="1" hidden="1">5</definedName>
    <definedName name="solver_rel29" localSheetId="3" hidden="1">1</definedName>
    <definedName name="solver_rel3" localSheetId="1" hidden="1">2</definedName>
    <definedName name="solver_rel3" localSheetId="3" hidden="1">1</definedName>
    <definedName name="solver_rel30" localSheetId="1" hidden="1">3</definedName>
    <definedName name="solver_rel30" localSheetId="3" hidden="1">1</definedName>
    <definedName name="solver_rel31" localSheetId="1" hidden="1">5</definedName>
    <definedName name="solver_rel31" localSheetId="3" hidden="1">1</definedName>
    <definedName name="solver_rel32" localSheetId="1" hidden="1">3</definedName>
    <definedName name="solver_rel32" localSheetId="3" hidden="1">3</definedName>
    <definedName name="solver_rel33" localSheetId="1" hidden="1">5</definedName>
    <definedName name="solver_rel33" localSheetId="3" hidden="1">3</definedName>
    <definedName name="solver_rel34" localSheetId="3" hidden="1">5</definedName>
    <definedName name="solver_rel35" localSheetId="3" hidden="1">1</definedName>
    <definedName name="solver_rel36" localSheetId="3" hidden="1">1</definedName>
    <definedName name="solver_rel37" localSheetId="3" hidden="1">1</definedName>
    <definedName name="solver_rel38" localSheetId="3" hidden="1">1</definedName>
    <definedName name="solver_rel39" localSheetId="3" hidden="1">1</definedName>
    <definedName name="solver_rel4" localSheetId="1" hidden="1">2</definedName>
    <definedName name="solver_rel4" localSheetId="3" hidden="1">1</definedName>
    <definedName name="solver_rel40" localSheetId="3" hidden="1">1</definedName>
    <definedName name="solver_rel41" localSheetId="3" hidden="1">1</definedName>
    <definedName name="solver_rel42" localSheetId="3" hidden="1">5</definedName>
    <definedName name="solver_rel43" localSheetId="3" hidden="1">5</definedName>
    <definedName name="solver_rel44" localSheetId="3" hidden="1">5</definedName>
    <definedName name="solver_rel45" localSheetId="3" hidden="1">3</definedName>
    <definedName name="solver_rel46" localSheetId="3" hidden="1">3</definedName>
    <definedName name="solver_rel47" localSheetId="3" hidden="1">3</definedName>
    <definedName name="solver_rel48" localSheetId="3" hidden="1">3</definedName>
    <definedName name="solver_rel49" localSheetId="3" hidden="1">3</definedName>
    <definedName name="solver_rel5" localSheetId="1" hidden="1">2</definedName>
    <definedName name="solver_rel5" localSheetId="3" hidden="1">1</definedName>
    <definedName name="solver_rel50" localSheetId="3" hidden="1">3</definedName>
    <definedName name="solver_rel51" localSheetId="3" hidden="1">3</definedName>
    <definedName name="solver_rel52" localSheetId="3" hidden="1">3</definedName>
    <definedName name="solver_rel53" localSheetId="3" hidden="1">3</definedName>
    <definedName name="solver_rel54" localSheetId="3" hidden="1">3</definedName>
    <definedName name="solver_rel55" localSheetId="3" hidden="1">1</definedName>
    <definedName name="solver_rel56" localSheetId="3" hidden="1">3</definedName>
    <definedName name="solver_rel57" localSheetId="3" hidden="1">3</definedName>
    <definedName name="solver_rel6" localSheetId="1" hidden="1">2</definedName>
    <definedName name="solver_rel6" localSheetId="3" hidden="1">1</definedName>
    <definedName name="solver_rel7" localSheetId="1" hidden="1">1</definedName>
    <definedName name="solver_rel7" localSheetId="3" hidden="1">1</definedName>
    <definedName name="solver_rel8" localSheetId="1" hidden="1">1</definedName>
    <definedName name="solver_rel8" localSheetId="3" hidden="1">1</definedName>
    <definedName name="solver_rel9" localSheetId="1" hidden="1">1</definedName>
    <definedName name="solver_rel9" localSheetId="3" hidden="1">1</definedName>
    <definedName name="solver_rhs1" localSheetId="1" hidden="1">1</definedName>
    <definedName name="solver_rhs1" localSheetId="3" hidden="1">binary</definedName>
    <definedName name="solver_rhs10" localSheetId="1" hidden="1">'Find k opt'!$O$10</definedName>
    <definedName name="solver_rhs10" localSheetId="3" hidden="1">1</definedName>
    <definedName name="solver_rhs11" localSheetId="1" hidden="1">'Find k opt'!$O$10</definedName>
    <definedName name="solver_rhs11" localSheetId="3" hidden="1">1</definedName>
    <definedName name="solver_rhs12" localSheetId="1" hidden="1">'Find k opt'!$O$10</definedName>
    <definedName name="solver_rhs12" localSheetId="3" hidden="1">1</definedName>
    <definedName name="solver_rhs13" localSheetId="1" hidden="1">0</definedName>
    <definedName name="solver_rhs13" localSheetId="3" hidden="1">'solver part B'!$M$1</definedName>
    <definedName name="solver_rhs14" localSheetId="1" hidden="1">0</definedName>
    <definedName name="solver_rhs14" localSheetId="3" hidden="1">1</definedName>
    <definedName name="solver_rhs15" localSheetId="1" hidden="1">0</definedName>
    <definedName name="solver_rhs15" localSheetId="3" hidden="1">1</definedName>
    <definedName name="solver_rhs16" localSheetId="1" hidden="1">0</definedName>
    <definedName name="solver_rhs16" localSheetId="3" hidden="1">1</definedName>
    <definedName name="solver_rhs17" localSheetId="1" hidden="1">0</definedName>
    <definedName name="solver_rhs17" localSheetId="3" hidden="1">1</definedName>
    <definedName name="solver_rhs18" localSheetId="1" hidden="1">0</definedName>
    <definedName name="solver_rhs18" localSheetId="3" hidden="1">1</definedName>
    <definedName name="solver_rhs19" localSheetId="1" hidden="1">0</definedName>
    <definedName name="solver_rhs19" localSheetId="3" hidden="1">1</definedName>
    <definedName name="solver_rhs2" localSheetId="1" hidden="1">1</definedName>
    <definedName name="solver_rhs2" localSheetId="3" hidden="1">'solver part B'!$M$1</definedName>
    <definedName name="solver_rhs20" localSheetId="1" hidden="1">0</definedName>
    <definedName name="solver_rhs20" localSheetId="3" hidden="1">0</definedName>
    <definedName name="solver_rhs21" localSheetId="1" hidden="1">binary</definedName>
    <definedName name="solver_rhs21" localSheetId="3" hidden="1">0</definedName>
    <definedName name="solver_rhs22" localSheetId="1" hidden="1">0</definedName>
    <definedName name="solver_rhs22" localSheetId="3" hidden="1">0</definedName>
    <definedName name="solver_rhs23" localSheetId="1" hidden="1">0</definedName>
    <definedName name="solver_rhs23" localSheetId="3" hidden="1">0</definedName>
    <definedName name="solver_rhs24" localSheetId="1" hidden="1">'Find k opt'!$E$8</definedName>
    <definedName name="solver_rhs24" localSheetId="3" hidden="1">0</definedName>
    <definedName name="solver_rhs25" localSheetId="1" hidden="1">binary</definedName>
    <definedName name="solver_rhs25" localSheetId="3" hidden="1">0</definedName>
    <definedName name="solver_rhs26" localSheetId="1" hidden="1">'Find k opt'!$G$8</definedName>
    <definedName name="solver_rhs26" localSheetId="3" hidden="1">0</definedName>
    <definedName name="solver_rhs27" localSheetId="1" hidden="1">binary</definedName>
    <definedName name="solver_rhs27" localSheetId="3" hidden="1">1</definedName>
    <definedName name="solver_rhs28" localSheetId="1" hidden="1">'Find k opt'!$I$8</definedName>
    <definedName name="solver_rhs28" localSheetId="3" hidden="1">0</definedName>
    <definedName name="solver_rhs29" localSheetId="1" hidden="1">binary</definedName>
    <definedName name="solver_rhs29" localSheetId="3" hidden="1">0</definedName>
    <definedName name="solver_rhs3" localSheetId="1" hidden="1">1</definedName>
    <definedName name="solver_rhs3" localSheetId="3" hidden="1">'solver part B'!$M$1</definedName>
    <definedName name="solver_rhs30" localSheetId="1" hidden="1">'Find k opt'!$K$8</definedName>
    <definedName name="solver_rhs30" localSheetId="3" hidden="1">0</definedName>
    <definedName name="solver_rhs31" localSheetId="1" hidden="1">binary</definedName>
    <definedName name="solver_rhs31" localSheetId="3" hidden="1">0</definedName>
    <definedName name="solver_rhs32" localSheetId="1" hidden="1">'Find k opt'!$M$8</definedName>
    <definedName name="solver_rhs32" localSheetId="3" hidden="1">0</definedName>
    <definedName name="solver_rhs33" localSheetId="1" hidden="1">binary</definedName>
    <definedName name="solver_rhs33" localSheetId="3" hidden="1">0</definedName>
    <definedName name="solver_rhs34" localSheetId="3" hidden="1">binary</definedName>
    <definedName name="solver_rhs35" localSheetId="3" hidden="1">0</definedName>
    <definedName name="solver_rhs36" localSheetId="3" hidden="1">0</definedName>
    <definedName name="solver_rhs37" localSheetId="3" hidden="1">0</definedName>
    <definedName name="solver_rhs38" localSheetId="3" hidden="1">0</definedName>
    <definedName name="solver_rhs39" localSheetId="3" hidden="1">0</definedName>
    <definedName name="solver_rhs4" localSheetId="1" hidden="1">1</definedName>
    <definedName name="solver_rhs4" localSheetId="3" hidden="1">'solver part B'!$M$1</definedName>
    <definedName name="solver_rhs40" localSheetId="3" hidden="1">0</definedName>
    <definedName name="solver_rhs41" localSheetId="3" hidden="1">0</definedName>
    <definedName name="solver_rhs42" localSheetId="3" hidden="1">binary</definedName>
    <definedName name="solver_rhs43" localSheetId="3" hidden="1">binary</definedName>
    <definedName name="solver_rhs44" localSheetId="3" hidden="1">binary</definedName>
    <definedName name="solver_rhs45" localSheetId="3" hidden="1">'solver part B'!$F$18</definedName>
    <definedName name="solver_rhs46" localSheetId="3" hidden="1">'solver part B'!$F$18</definedName>
    <definedName name="solver_rhs47" localSheetId="3" hidden="1">'solver part B'!$F$18</definedName>
    <definedName name="solver_rhs48" localSheetId="3" hidden="1">'solver part B'!$F$18</definedName>
    <definedName name="solver_rhs49" localSheetId="3" hidden="1">'solver part B'!$F$18</definedName>
    <definedName name="solver_rhs5" localSheetId="1" hidden="1">1</definedName>
    <definedName name="solver_rhs5" localSheetId="3" hidden="1">'solver part B'!$M$1</definedName>
    <definedName name="solver_rhs50" localSheetId="3" hidden="1">'solver part B'!$F$18</definedName>
    <definedName name="solver_rhs51" localSheetId="3" hidden="1">'solver part B'!$F$18</definedName>
    <definedName name="solver_rhs52" localSheetId="3" hidden="1">'solver part B'!$F$18</definedName>
    <definedName name="solver_rhs53" localSheetId="3" hidden="1">'solver part B'!$F$18</definedName>
    <definedName name="solver_rhs54" localSheetId="3" hidden="1">'solver part B'!$F$18</definedName>
    <definedName name="solver_rhs55" localSheetId="3" hidden="1">0</definedName>
    <definedName name="solver_rhs56" localSheetId="3" hidden="1">'solver part B'!$E$18</definedName>
    <definedName name="solver_rhs57" localSheetId="3" hidden="1">'solver part B'!$E$18</definedName>
    <definedName name="solver_rhs6" localSheetId="1" hidden="1">1</definedName>
    <definedName name="solver_rhs6" localSheetId="3" hidden="1">'solver part B'!$M$1</definedName>
    <definedName name="solver_rhs7" localSheetId="1" hidden="1">'Find k opt'!$O$10</definedName>
    <definedName name="solver_rhs7" localSheetId="3" hidden="1">'solver part B'!$M$1</definedName>
    <definedName name="solver_rhs8" localSheetId="1" hidden="1">'Find k opt'!$O$10</definedName>
    <definedName name="solver_rhs8" localSheetId="3" hidden="1">'solver part B'!$M$1</definedName>
    <definedName name="solver_rhs9" localSheetId="1" hidden="1">'Find k opt'!$O$10</definedName>
    <definedName name="solver_rhs9" localSheetId="3" hidden="1">'solver part B'!$M$1</definedName>
    <definedName name="solver_rlx" localSheetId="1" hidden="1">2</definedName>
    <definedName name="solver_rlx" localSheetId="3" hidden="1">2</definedName>
    <definedName name="solver_rsd" localSheetId="1" hidden="1">0</definedName>
    <definedName name="solver_rsd" localSheetId="3" hidden="1">0</definedName>
    <definedName name="solver_scl" localSheetId="1" hidden="1">1</definedName>
    <definedName name="solver_scl" localSheetId="3" hidden="1">2</definedName>
    <definedName name="solver_sho" localSheetId="1" hidden="1">2</definedName>
    <definedName name="solver_sho" localSheetId="3" hidden="1">2</definedName>
    <definedName name="solver_ssz" localSheetId="1" hidden="1">100</definedName>
    <definedName name="solver_ssz" localSheetId="3" hidden="1">100</definedName>
    <definedName name="solver_tim" localSheetId="1" hidden="1">2147483647</definedName>
    <definedName name="solver_tim" localSheetId="3" hidden="1">2147483647</definedName>
    <definedName name="solver_tol" localSheetId="1" hidden="1">0.01</definedName>
    <definedName name="solver_tol" localSheetId="3" hidden="1">0.01</definedName>
    <definedName name="solver_typ" localSheetId="1" hidden="1">2</definedName>
    <definedName name="solver_typ" localSheetId="0" hidden="1">1</definedName>
    <definedName name="solver_typ" localSheetId="3" hidden="1">2</definedName>
    <definedName name="solver_val" localSheetId="1" hidden="1">0</definedName>
    <definedName name="solver_val" localSheetId="0" hidden="1">0</definedName>
    <definedName name="solver_val" localSheetId="3" hidden="1">0</definedName>
    <definedName name="solver_ver" localSheetId="1" hidden="1">3</definedName>
    <definedName name="solver_ver" localSheetId="0" hidden="1">3</definedName>
    <definedName name="solver_ver" localSheetId="3" hidden="1">3</definedName>
    <definedName name="station1">'solver part B'!$C$17</definedName>
    <definedName name="station2">'solver part B'!$D$17</definedName>
    <definedName name="station3">'solver part B'!$E$17</definedName>
    <definedName name="station4">'solver part B'!$F$17</definedName>
    <definedName name="station5">'solver part B'!$G$17</definedName>
    <definedName name="station6">'solver part B'!$H$17</definedName>
    <definedName name="station7">'solver part B'!$I$17</definedName>
    <definedName name="station8">'solver part B'!$J$17</definedName>
    <definedName name="station9">'solver part B'!$K$17</definedName>
  </definedNames>
  <calcPr calcId="171027"/>
</workbook>
</file>

<file path=xl/calcChain.xml><?xml version="1.0" encoding="utf-8"?>
<calcChain xmlns="http://schemas.openxmlformats.org/spreadsheetml/2006/main">
  <c r="C23" i="7" l="1"/>
  <c r="M32" i="7"/>
  <c r="M31" i="7"/>
  <c r="M30" i="7"/>
  <c r="M29" i="7"/>
  <c r="M28" i="7"/>
  <c r="M27" i="7"/>
  <c r="M26" i="7"/>
  <c r="M25" i="7"/>
  <c r="M24" i="7"/>
  <c r="M43" i="7" l="1"/>
  <c r="M42" i="7"/>
  <c r="M41" i="7"/>
  <c r="M40" i="7"/>
  <c r="M39" i="7"/>
  <c r="M38" i="7"/>
  <c r="M37" i="7"/>
  <c r="M36" i="7"/>
  <c r="M35" i="7"/>
  <c r="M34" i="7"/>
  <c r="M33" i="7"/>
  <c r="G17" i="7"/>
  <c r="D17" i="7"/>
  <c r="E17" i="7"/>
  <c r="F17" i="7"/>
  <c r="H17" i="7"/>
  <c r="I17" i="7"/>
  <c r="J17" i="7"/>
  <c r="K17" i="7"/>
  <c r="C17" i="7"/>
  <c r="D19" i="7"/>
  <c r="E19" i="7"/>
  <c r="F19" i="7"/>
  <c r="G19" i="7"/>
  <c r="H19" i="7"/>
  <c r="I19" i="7"/>
  <c r="J19" i="7"/>
  <c r="K19" i="7"/>
  <c r="C19" i="7"/>
  <c r="L9" i="7"/>
  <c r="L10" i="7"/>
  <c r="L11" i="7"/>
  <c r="L12" i="7"/>
  <c r="L13" i="7"/>
  <c r="L14" i="7"/>
  <c r="L15" i="7"/>
  <c r="L16" i="7"/>
  <c r="L8" i="7"/>
  <c r="C31" i="4" l="1"/>
  <c r="C30" i="4"/>
  <c r="C29" i="4"/>
  <c r="C28" i="4"/>
  <c r="C27" i="4"/>
  <c r="C26" i="4"/>
  <c r="C25" i="4"/>
  <c r="C24" i="4"/>
  <c r="C23" i="4"/>
  <c r="C22" i="4"/>
  <c r="C12" i="4"/>
  <c r="C13" i="4"/>
  <c r="C14" i="4"/>
  <c r="C15" i="4"/>
  <c r="C11" i="4"/>
  <c r="C10" i="4"/>
  <c r="C9" i="4"/>
  <c r="C21" i="4"/>
  <c r="C20" i="4"/>
  <c r="C19" i="4"/>
  <c r="C18" i="4"/>
  <c r="C17" i="4"/>
  <c r="C16" i="4"/>
  <c r="E2" i="3" l="1"/>
  <c r="E3" i="3"/>
  <c r="E4" i="3"/>
  <c r="E5" i="3"/>
  <c r="E6" i="3"/>
  <c r="E7" i="3"/>
</calcChain>
</file>

<file path=xl/sharedStrings.xml><?xml version="1.0" encoding="utf-8"?>
<sst xmlns="http://schemas.openxmlformats.org/spreadsheetml/2006/main" count="230" uniqueCount="171">
  <si>
    <t>Job</t>
  </si>
  <si>
    <t>Duration</t>
  </si>
  <si>
    <t>A</t>
  </si>
  <si>
    <t>B</t>
  </si>
  <si>
    <t>C</t>
  </si>
  <si>
    <t>D</t>
  </si>
  <si>
    <t>E</t>
  </si>
  <si>
    <t>F</t>
  </si>
  <si>
    <t>Input</t>
  </si>
  <si>
    <t>Output</t>
  </si>
  <si>
    <t>LB ( k)</t>
  </si>
  <si>
    <t>UB (k)</t>
  </si>
  <si>
    <t>K OPT</t>
  </si>
  <si>
    <t>Are all times 
identical? (Y/N)</t>
  </si>
  <si>
    <t xml:space="preserve">Is the heuristics' 
output optimal? (Y/N) </t>
  </si>
  <si>
    <t>station 1</t>
  </si>
  <si>
    <t>station 2</t>
  </si>
  <si>
    <t>station 3</t>
  </si>
  <si>
    <t>station 4</t>
  </si>
  <si>
    <t>station 5</t>
  </si>
  <si>
    <t>station 6</t>
  </si>
  <si>
    <t>The stations that were opened</t>
  </si>
  <si>
    <t>Assignment of operations to stations</t>
  </si>
  <si>
    <t>Weight</t>
  </si>
  <si>
    <t>Weight-calculate</t>
  </si>
  <si>
    <t>variables</t>
  </si>
  <si>
    <t>target function</t>
  </si>
  <si>
    <t>constraints</t>
  </si>
  <si>
    <t>X11</t>
  </si>
  <si>
    <t>X12</t>
  </si>
  <si>
    <t>X13</t>
  </si>
  <si>
    <t>X14</t>
  </si>
  <si>
    <t>X15</t>
  </si>
  <si>
    <t>X16</t>
  </si>
  <si>
    <t>X21</t>
  </si>
  <si>
    <t>X22</t>
  </si>
  <si>
    <t>X23</t>
  </si>
  <si>
    <t>X24</t>
  </si>
  <si>
    <t>X25</t>
  </si>
  <si>
    <t>X26</t>
  </si>
  <si>
    <t>X31</t>
  </si>
  <si>
    <t>X32</t>
  </si>
  <si>
    <t>X33</t>
  </si>
  <si>
    <t>X34</t>
  </si>
  <si>
    <t>X35</t>
  </si>
  <si>
    <t>X36</t>
  </si>
  <si>
    <t>X41</t>
  </si>
  <si>
    <t>X42</t>
  </si>
  <si>
    <t>X43</t>
  </si>
  <si>
    <t>X44</t>
  </si>
  <si>
    <t>X45</t>
  </si>
  <si>
    <t>X46</t>
  </si>
  <si>
    <t>Y1</t>
  </si>
  <si>
    <t>Y2</t>
  </si>
  <si>
    <t>Y3</t>
  </si>
  <si>
    <t>Y4</t>
  </si>
  <si>
    <t>X51</t>
  </si>
  <si>
    <t>X52</t>
  </si>
  <si>
    <t>X53</t>
  </si>
  <si>
    <t>X54</t>
  </si>
  <si>
    <t>X55</t>
  </si>
  <si>
    <t>X56</t>
  </si>
  <si>
    <t>Y5</t>
  </si>
  <si>
    <t>X61</t>
  </si>
  <si>
    <t>X62</t>
  </si>
  <si>
    <t>X63</t>
  </si>
  <si>
    <t>X64</t>
  </si>
  <si>
    <t>X65</t>
  </si>
  <si>
    <t>X66</t>
  </si>
  <si>
    <t>Y6</t>
  </si>
  <si>
    <t>מינימום תחנות</t>
  </si>
  <si>
    <t>כל עבודה תשובץ פעם אחת</t>
  </si>
  <si>
    <t>t1*x11+t2*x12+t3*x13+t4*x14+t5*x15+t6*x16&lt;=c</t>
  </si>
  <si>
    <t>סכום זמנים בתחנה לא יעלה על C</t>
  </si>
  <si>
    <t>t1*x21+t2*x22+t3*x23+t4*x24+t5*x25+t6*x26&lt;=c</t>
  </si>
  <si>
    <t>t1*x31+t2*x32+t3*x33+t4*x34+t5*x35+t6*x36&lt;=c</t>
  </si>
  <si>
    <t>t1*x41+t2*x42+t3*x43+t4*x44+t5*x45+t6*x46&lt;=c</t>
  </si>
  <si>
    <t>t1*x51+t2*x52+t3*x53+t4*x54+t5*x55+t6*x56&lt;=c</t>
  </si>
  <si>
    <t>t1*x61+t2*x62+t3*x63+t4*x64+t5*x65+t6*x66&lt;=c</t>
  </si>
  <si>
    <t>6y1-(x11+x12+x13+x14+x15+x16)&gt;=0</t>
  </si>
  <si>
    <t>6y2-(x21+x22+x23+x24+x25+x26)&gt;=0</t>
  </si>
  <si>
    <t>6y3-(x31+x32+x33+x34+x35+x36)&gt;=0</t>
  </si>
  <si>
    <t>6y4-(x41+x42+x43+x44+x45+x46)&gt;=0</t>
  </si>
  <si>
    <t>6y5-(x51+x52+x53+x54+x55+x56)&gt;=0</t>
  </si>
  <si>
    <t>6y6-(x61+x62+x63+x64+x65+x66)&gt;=0</t>
  </si>
  <si>
    <t>x11+x21+x31+x41+x51+x61=1</t>
  </si>
  <si>
    <t>x12+x22+x32+x42+x52+x62=1</t>
  </si>
  <si>
    <t>x13+x23+x33+x43+x53+x63=1</t>
  </si>
  <si>
    <t>x14+x24+x34+x44+x54+x64=1</t>
  </si>
  <si>
    <t>x15+x25+x35+x45+x55+x65=1</t>
  </si>
  <si>
    <t>x16+x26+x36+x46+x56+x66=1</t>
  </si>
  <si>
    <t>1x11+2x21+3x31+4x41+5x51+6x61-(1x13+2x23+3x33+4x43+5x53+6x63)&lt;=0</t>
  </si>
  <si>
    <t>1x11+2x21+3x31+4x41+5x51+6x61-(1x14+2x24+3x34+4x44+5x54+6x64)&lt;=0</t>
  </si>
  <si>
    <t>1x12+2x22+3x32+4x42+5x52+6x62-(1x14+2x24+3x34+4x44+5x54+6x64)&lt;=0</t>
  </si>
  <si>
    <t>1x12+2x22+3x32+4x42+5x52+6x62-(1x15+2x25+3x35+4x45+5x55+6x65)&lt;=0</t>
  </si>
  <si>
    <t>Xij are boolean</t>
  </si>
  <si>
    <t>Yi are boolean</t>
  </si>
  <si>
    <t>אילוצי קדימויות</t>
  </si>
  <si>
    <t>קשר בין תחנה לשיבוץ</t>
  </si>
  <si>
    <t>min (y1+y2+y3+y4+y5+y6)</t>
  </si>
  <si>
    <t>y1&gt;=y2</t>
  </si>
  <si>
    <t>y2&gt;=y3</t>
  </si>
  <si>
    <t>y3&gt;=y4</t>
  </si>
  <si>
    <t>y4&gt;=y5</t>
  </si>
  <si>
    <t>y5&gt;=y6</t>
  </si>
  <si>
    <t>לשבץ בתחנות לפי הסדר</t>
  </si>
  <si>
    <t>פעולה</t>
  </si>
  <si>
    <t>G</t>
  </si>
  <si>
    <t>H</t>
  </si>
  <si>
    <t>I</t>
  </si>
  <si>
    <t>פעולות</t>
  </si>
  <si>
    <t>קודמות</t>
  </si>
  <si>
    <t>--</t>
  </si>
  <si>
    <t>A,B</t>
  </si>
  <si>
    <t>E,F</t>
  </si>
  <si>
    <t>C,D</t>
  </si>
  <si>
    <t>משך (דקות)</t>
  </si>
  <si>
    <t>כל פעילות תשובץ בתחנה אחת</t>
  </si>
  <si>
    <t>סכום זמנים בתחנה עד C</t>
  </si>
  <si>
    <t>constrint</t>
  </si>
  <si>
    <t>9y1-(x11+x12+x13+x14+x15+x16+x17+x18+x19)&gt;=0</t>
  </si>
  <si>
    <t>9y2-(x21+x22+x23+x24+x25+x26+x27+x28+x29)&gt;=0</t>
  </si>
  <si>
    <t>9y3-(x31+x32+x33+x34+x35+x36+x37+x38+x39)&gt;=0</t>
  </si>
  <si>
    <t>9y4-(x41+x42+x43+x44+x45+x46+x47+x48+x49)&gt;=0</t>
  </si>
  <si>
    <t>9y5-(x51+x52+x53+x54+x55+x56+x57+x58+x59)&gt;=0</t>
  </si>
  <si>
    <t>9y6-(x61+x62+x63+x64+x65+x66+x67+x68+x69)&gt;=0</t>
  </si>
  <si>
    <t>9y7-(x71+x72+x73+x74+x75+x76+x77+x78+x79)&gt;=0</t>
  </si>
  <si>
    <t>9y7-(x81+x82+x83+x84+x85+x86+x87+x88+x89)&gt;=0</t>
  </si>
  <si>
    <t>9y7-(x91+x92+x93+x94+x95+x96+x97+x98+x99)&gt;=0</t>
  </si>
  <si>
    <t>האם שובץ בתחנה</t>
  </si>
  <si>
    <t>1x11+2x21+3x31+4x41+5x51+6x61+7x71+8x81+9x91-(1x13+2x23+3x33+4x43+5x53+6x63+7x73+8x83+9x93)&lt;=0</t>
  </si>
  <si>
    <t>1x11+2x21+3x31+4x41+5x51+6x61+7x71+8x81+9x91-(1x14+2x24+3x34+4x44+5x54+6x64+7x74+8x84+9x94)&lt;=0</t>
  </si>
  <si>
    <t>1x12+2x22+3x32+4x42+5x52+6x62+7x72+8x82+9x92-(1x14+2x24+3x34+4x44+5x54+6x64+7x74+8x84+9x94)&lt;=0</t>
  </si>
  <si>
    <t>1x12+2x22+3x32+4x42+5x52+6x62+7x72+8x82+9x92-(1x15+2x25+3x35+4x45+5x55+6x65+7x75+8x85+9x95)&lt;=0</t>
  </si>
  <si>
    <t>a&gt;&gt;c</t>
  </si>
  <si>
    <t>a&gt;&gt;d</t>
  </si>
  <si>
    <t>b&gt;&gt;d</t>
  </si>
  <si>
    <t>b&gt;&gt;e</t>
  </si>
  <si>
    <t>a&gt;&gt;f</t>
  </si>
  <si>
    <t>1x11+2x21+3x31+4x41+5x51+6x61+7x71+8x81+9x91-(1x16+2x26+3x36+4x46+5x56+6x66+7x76+8x86+9x96)&lt;=0</t>
  </si>
  <si>
    <t>b&gt;&gt;f</t>
  </si>
  <si>
    <t>1x12+2x22+3x32+4x42+5x52+6x62+7x72+8x82+9x92-(1x16+2x26+3x36+4x46+5x56+6x66+7x76+8x86+9x96)&lt;=0</t>
  </si>
  <si>
    <t>1x15+2x25+3x35+4x45+5x55+6x65+7x75+8x85+9x95-(1x17+2x27+3x37+4x47+5x57+6x67+7x77+8x87+9x97)&lt;=0</t>
  </si>
  <si>
    <t>1x16+2x26+3x36+4x46+5x56+6x66+7x76+8x86+9x96-(1x17+2x27+3x37+4x47+5x57+6x67+7x77+8x87+9x97)&lt;=0</t>
  </si>
  <si>
    <t>e&gt;&gt;g</t>
  </si>
  <si>
    <t>f&gt;&gt;g</t>
  </si>
  <si>
    <t>f&gt;&gt;h</t>
  </si>
  <si>
    <t>1x16+2x26+3x36+4x46+5x56+6x66+7x76+8x86+9x96-(1x18+2x28+3x38+4x48+5x58+6x68+7x78+8x88+9x98)&lt;=0</t>
  </si>
  <si>
    <t>c&gt;&gt;i</t>
  </si>
  <si>
    <t>1x13+2x23+3x33+4x43+5x53+6x63+7x73+8x83+9x93-(1x19+2x29+3x39+4x49+5x59+6x69+7x79+8x89+9x99)&lt;=0</t>
  </si>
  <si>
    <t>1x14+2x24+3x34+4x44+5x54+6x64+7x74+8x84+9x94-(1x19+2x29+3x39+4x49+5x59+6x69+7x79+8x89+9x99)&lt;=0</t>
  </si>
  <si>
    <t>d&gt;&gt;i</t>
  </si>
  <si>
    <t>stations- i</t>
  </si>
  <si>
    <t>activities- j</t>
  </si>
  <si>
    <t>target</t>
  </si>
  <si>
    <t>min k</t>
  </si>
  <si>
    <t>c</t>
  </si>
  <si>
    <t>כמה שובצו בתחנה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</si>
  <si>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</si>
  <si>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</si>
  <si>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</si>
  <si>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</si>
  <si>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</si>
  <si>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</si>
  <si>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</si>
  <si>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</si>
  <si>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</si>
  <si>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station 7</t>
  </si>
  <si>
    <t>station 8</t>
  </si>
  <si>
    <t>station 9</t>
  </si>
  <si>
    <t>קלט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</si>
</sst>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6" x14ac:knownFonts="1">
    <font>
      <sz val="11"/>
      <color theme="1"/>
      <name val="Arial"/>
      <family val="2"/>
      <charset val="177"/>
      <scheme val="minor"/>
    </font>
    <font>
      <b/>
      <sz val="12"/>
      <color theme="0"/>
      <name val="Arial"/>
      <family val="2"/>
      <scheme val="minor"/>
    </font>
    <font>
      <b/>
      <sz val="18"/>
      <name val="Arial"/>
      <family val="2"/>
      <scheme val="minor"/>
    </font>
    <font>
      <b/>
      <sz val="16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charset val="177"/>
      <scheme val="minor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sz val="18"/>
      <color theme="3"/>
      <name val="Times New Roman"/>
      <family val="2"/>
      <charset val="177"/>
      <scheme val="major"/>
    </font>
    <font>
      <b/>
      <sz val="15"/>
      <color theme="3"/>
      <name val="Arial"/>
      <family val="2"/>
      <charset val="177"/>
      <scheme val="minor"/>
    </font>
    <font>
      <b/>
      <sz val="13"/>
      <color theme="3"/>
      <name val="Arial"/>
      <family val="2"/>
      <charset val="177"/>
      <scheme val="minor"/>
    </font>
    <font>
      <b/>
      <sz val="11"/>
      <color theme="3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11"/>
      <color rgb="FF9C0006"/>
      <name val="Arial"/>
      <family val="2"/>
      <charset val="177"/>
      <scheme val="minor"/>
    </font>
    <font>
      <sz val="11"/>
      <color rgb="FF9C5700"/>
      <name val="Arial"/>
      <family val="2"/>
      <charset val="177"/>
      <scheme val="minor"/>
    </font>
    <font>
      <sz val="11"/>
      <color rgb="FF3F3F76"/>
      <name val="Arial"/>
      <family val="2"/>
      <charset val="177"/>
      <scheme val="minor"/>
    </font>
    <font>
      <b/>
      <sz val="11"/>
      <color rgb="FF3F3F3F"/>
      <name val="Arial"/>
      <family val="2"/>
      <charset val="177"/>
      <scheme val="minor"/>
    </font>
    <font>
      <b/>
      <sz val="11"/>
      <color rgb="FFFA7D00"/>
      <name val="Arial"/>
      <family val="2"/>
      <charset val="177"/>
      <scheme val="minor"/>
    </font>
    <font>
      <sz val="11"/>
      <color rgb="FFFA7D00"/>
      <name val="Arial"/>
      <family val="2"/>
      <charset val="177"/>
      <scheme val="minor"/>
    </font>
    <font>
      <b/>
      <sz val="11"/>
      <color theme="0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i/>
      <sz val="11"/>
      <color rgb="FF7F7F7F"/>
      <name val="Arial"/>
      <family val="2"/>
      <charset val="177"/>
      <scheme val="minor"/>
    </font>
    <font>
      <b/>
      <sz val="11"/>
      <color theme="1"/>
      <name val="Arial"/>
      <family val="2"/>
      <charset val="177"/>
      <scheme val="minor"/>
    </font>
    <font>
      <sz val="11"/>
      <color theme="0"/>
      <name val="Arial"/>
      <family val="2"/>
      <charset val="177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0" fillId="0" borderId="0" applyNumberFormat="0" applyFill="0" applyBorder="0" applyAlignment="0" applyProtection="0"/>
    <xf numFmtId="0" fontId="11" fillId="0" borderId="28" applyNumberFormat="0" applyFill="0" applyAlignment="0" applyProtection="0"/>
    <xf numFmtId="0" fontId="12" fillId="0" borderId="29" applyNumberFormat="0" applyFill="0" applyAlignment="0" applyProtection="0"/>
    <xf numFmtId="0" fontId="13" fillId="0" borderId="30" applyNumberFormat="0" applyFill="0" applyAlignment="0" applyProtection="0"/>
    <xf numFmtId="0" fontId="13" fillId="0" borderId="0" applyNumberFormat="0" applyFill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6" fillId="18" borderId="0" applyNumberFormat="0" applyBorder="0" applyAlignment="0" applyProtection="0"/>
    <xf numFmtId="0" fontId="17" fillId="19" borderId="31" applyNumberFormat="0" applyAlignment="0" applyProtection="0"/>
    <xf numFmtId="0" fontId="18" fillId="20" borderId="32" applyNumberFormat="0" applyAlignment="0" applyProtection="0"/>
    <xf numFmtId="0" fontId="19" fillId="20" borderId="31" applyNumberFormat="0" applyAlignment="0" applyProtection="0"/>
    <xf numFmtId="0" fontId="20" fillId="0" borderId="33" applyNumberFormat="0" applyFill="0" applyAlignment="0" applyProtection="0"/>
    <xf numFmtId="0" fontId="21" fillId="21" borderId="34" applyNumberFormat="0" applyAlignment="0" applyProtection="0"/>
    <xf numFmtId="0" fontId="22" fillId="0" borderId="0" applyNumberFormat="0" applyFill="0" applyBorder="0" applyAlignment="0" applyProtection="0"/>
    <xf numFmtId="0" fontId="9" fillId="22" borderId="35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36" applyNumberFormat="0" applyFill="0" applyAlignment="0" applyProtection="0"/>
    <xf numFmtId="0" fontId="25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25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25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25" fillId="35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25" fillId="39" borderId="0" applyNumberFormat="0" applyBorder="0" applyAlignment="0" applyProtection="0"/>
    <xf numFmtId="0" fontId="9" fillId="40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25" fillId="43" borderId="0" applyNumberFormat="0" applyBorder="0" applyAlignment="0" applyProtection="0"/>
    <xf numFmtId="0" fontId="9" fillId="44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9" borderId="2" xfId="0" applyFill="1" applyBorder="1"/>
    <xf numFmtId="0" fontId="0" fillId="9" borderId="4" xfId="0" applyFill="1" applyBorder="1"/>
    <xf numFmtId="0" fontId="0" fillId="9" borderId="4" xfId="0" applyFill="1" applyBorder="1" applyAlignment="1">
      <alignment wrapText="1"/>
    </xf>
    <xf numFmtId="0" fontId="0" fillId="9" borderId="6" xfId="0" applyFill="1" applyBorder="1" applyAlignment="1">
      <alignment wrapText="1"/>
    </xf>
    <xf numFmtId="0" fontId="1" fillId="0" borderId="0" xfId="0" applyFont="1" applyAlignment="1">
      <alignment wrapText="1"/>
    </xf>
    <xf numFmtId="0" fontId="0" fillId="11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4" borderId="0" xfId="0" applyFill="1"/>
    <xf numFmtId="0" fontId="0" fillId="6" borderId="8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8" borderId="3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5" borderId="8" xfId="0" applyFill="1" applyBorder="1" applyAlignment="1"/>
    <xf numFmtId="0" fontId="2" fillId="0" borderId="0" xfId="0" applyFont="1"/>
    <xf numFmtId="0" fontId="3" fillId="0" borderId="0" xfId="0" applyFont="1"/>
    <xf numFmtId="0" fontId="4" fillId="3" borderId="0" xfId="0" applyFont="1" applyFill="1"/>
    <xf numFmtId="0" fontId="0" fillId="0" borderId="0" xfId="0"/>
    <xf numFmtId="0" fontId="0" fillId="13" borderId="8" xfId="0" applyFill="1" applyBorder="1"/>
    <xf numFmtId="0" fontId="0" fillId="0" borderId="8" xfId="0" applyBorder="1"/>
    <xf numFmtId="0" fontId="0" fillId="10" borderId="11" xfId="0" applyFill="1" applyBorder="1"/>
    <xf numFmtId="0" fontId="0" fillId="12" borderId="8" xfId="0" applyFill="1" applyBorder="1" applyAlignment="1">
      <alignment horizontal="center" vertical="center" wrapText="1"/>
    </xf>
    <xf numFmtId="0" fontId="0" fillId="12" borderId="0" xfId="0" applyFill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4" xfId="0" applyBorder="1"/>
    <xf numFmtId="0" fontId="5" fillId="0" borderId="14" xfId="0" applyFont="1" applyBorder="1" applyAlignment="1">
      <alignment wrapText="1"/>
    </xf>
    <xf numFmtId="0" fontId="0" fillId="0" borderId="14" xfId="0" applyFill="1" applyBorder="1"/>
    <xf numFmtId="0" fontId="6" fillId="0" borderId="15" xfId="0" applyFont="1" applyBorder="1" applyAlignment="1">
      <alignment horizontal="center" vertical="center" wrapText="1" readingOrder="2"/>
    </xf>
    <xf numFmtId="0" fontId="6" fillId="0" borderId="16" xfId="0" applyFont="1" applyBorder="1" applyAlignment="1">
      <alignment horizontal="center" vertical="center" wrapText="1" readingOrder="2"/>
    </xf>
    <xf numFmtId="0" fontId="6" fillId="0" borderId="18" xfId="0" applyFont="1" applyBorder="1" applyAlignment="1">
      <alignment horizontal="center" vertical="center" wrapText="1" readingOrder="2"/>
    </xf>
    <xf numFmtId="0" fontId="6" fillId="0" borderId="17" xfId="0" applyFont="1" applyBorder="1" applyAlignment="1">
      <alignment horizontal="center" vertical="center" wrapText="1" readingOrder="2"/>
    </xf>
    <xf numFmtId="0" fontId="7" fillId="0" borderId="19" xfId="0" applyFont="1" applyBorder="1" applyAlignment="1">
      <alignment horizontal="center" vertical="center" wrapText="1" readingOrder="2"/>
    </xf>
    <xf numFmtId="0" fontId="0" fillId="0" borderId="0" xfId="0" applyFill="1" applyBorder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2" borderId="0" xfId="0" applyFill="1" applyBorder="1" applyAlignment="1">
      <alignment horizontal="center" vertical="center"/>
    </xf>
    <xf numFmtId="0" fontId="0" fillId="0" borderId="0" xfId="0" applyBorder="1" applyAlignment="1"/>
    <xf numFmtId="0" fontId="6" fillId="0" borderId="0" xfId="0" applyFont="1" applyFill="1" applyBorder="1" applyAlignment="1">
      <alignment horizontal="center" vertical="center" wrapText="1" readingOrder="2"/>
    </xf>
    <xf numFmtId="0" fontId="0" fillId="15" borderId="0" xfId="0" applyFill="1" applyAlignment="1">
      <alignment wrapText="1"/>
    </xf>
    <xf numFmtId="0" fontId="0" fillId="15" borderId="0" xfId="0" applyFill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textRotation="135"/>
    </xf>
    <xf numFmtId="0" fontId="0" fillId="0" borderId="8" xfId="0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textRotation="135"/>
    </xf>
    <xf numFmtId="0" fontId="7" fillId="0" borderId="20" xfId="0" applyFont="1" applyBorder="1" applyAlignment="1">
      <alignment horizontal="center" vertical="center" wrapText="1" readingOrder="2"/>
    </xf>
    <xf numFmtId="0" fontId="7" fillId="0" borderId="17" xfId="0" applyFont="1" applyBorder="1" applyAlignment="1">
      <alignment horizontal="center" vertical="center" wrapText="1" readingOrder="2"/>
    </xf>
    <xf numFmtId="0" fontId="7" fillId="0" borderId="21" xfId="0" applyFont="1" applyBorder="1" applyAlignment="1">
      <alignment horizontal="center" vertical="center" wrapText="1" readingOrder="2"/>
    </xf>
    <xf numFmtId="0" fontId="7" fillId="0" borderId="19" xfId="0" applyFont="1" applyBorder="1" applyAlignment="1">
      <alignment horizontal="center" vertical="center" wrapText="1" readingOrder="2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2" borderId="13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261937</xdr:colOff>
      <xdr:row>1</xdr:row>
      <xdr:rowOff>71437</xdr:rowOff>
    </xdr:from>
    <xdr:to>
      <xdr:col>10</xdr:col>
      <xdr:colOff>464343</xdr:colOff>
      <xdr:row>14</xdr:row>
      <xdr:rowOff>0</xdr:rowOff>
    </xdr:to>
    <xdr:sp macro="[0]!Finding_K_Opt" textlink="">
      <xdr:nvSpPr>
        <xdr:cNvPr id="3" name="שמ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5875" y="333375"/>
          <a:ext cx="2964656" cy="2333625"/>
        </a:xfrm>
        <a:prstGeom prst="sun">
          <a:avLst/>
        </a:prstGeom>
        <a:solidFill>
          <a:srgbClr val="FFFF00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r>
            <a:rPr lang="en-US" sz="2200" b="1">
              <a:solidFill>
                <a:sysClr val="windowText" lastClr="000000"/>
              </a:solidFill>
              <a:latin typeface="+mn-lt"/>
            </a:rPr>
            <a:t>Finding</a:t>
          </a:r>
          <a:r>
            <a:rPr lang="en-US" sz="2200" b="1" baseline="0">
              <a:solidFill>
                <a:sysClr val="windowText" lastClr="000000"/>
              </a:solidFill>
              <a:latin typeface="+mn-lt"/>
            </a:rPr>
            <a:t> K Opt</a:t>
          </a:r>
          <a:endParaRPr lang="he-IL" sz="22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10</xdr:col>
      <xdr:colOff>416717</xdr:colOff>
      <xdr:row>1</xdr:row>
      <xdr:rowOff>83344</xdr:rowOff>
    </xdr:from>
    <xdr:to>
      <xdr:col>14</xdr:col>
      <xdr:colOff>59531</xdr:colOff>
      <xdr:row>9</xdr:row>
      <xdr:rowOff>71438</xdr:rowOff>
    </xdr:to>
    <xdr:sp macro="[0]!ClearAll" textlink="">
      <xdr:nvSpPr>
        <xdr:cNvPr id="4" name="ענן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012905" y="345282"/>
          <a:ext cx="2405064" cy="1416844"/>
        </a:xfrm>
        <a:prstGeom prst="cloud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200" b="1">
              <a:solidFill>
                <a:sysClr val="windowText" lastClr="000000"/>
              </a:solidFill>
            </a:rPr>
            <a:t>Clear All</a:t>
          </a:r>
          <a:endParaRPr lang="he-IL" sz="2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1:N29"/>
  <sheetViews>
    <sheetView showGridLines="0" tabSelected="1" zoomScale="70" zoomScaleNormal="90" workbookViewId="0">
      <selection activeCell="N16" sqref="N16"/>
    </sheetView>
  </sheetViews>
  <sheetFormatPr defaultRowHeight="14" x14ac:dyDescent="0.3"/>
  <cols>
    <col min="1" max="1" width="18.08203125" customWidth="1"/>
  </cols>
  <sheetData>
    <row r="1" spans="1:5" ht="23" x14ac:dyDescent="0.5">
      <c r="A1" s="22" t="s">
        <v>8</v>
      </c>
      <c r="B1" s="1"/>
    </row>
    <row r="2" spans="1:5" x14ac:dyDescent="0.3">
      <c r="A2" s="13" t="s">
        <v>0</v>
      </c>
      <c r="B2" s="13" t="s">
        <v>1</v>
      </c>
      <c r="D2" s="24" t="s">
        <v>4</v>
      </c>
      <c r="E2" s="12"/>
    </row>
    <row r="3" spans="1:5" x14ac:dyDescent="0.3">
      <c r="A3" s="14" t="s">
        <v>2</v>
      </c>
      <c r="B3" s="15"/>
    </row>
    <row r="4" spans="1:5" x14ac:dyDescent="0.3">
      <c r="A4" s="14" t="s">
        <v>3</v>
      </c>
      <c r="B4" s="15"/>
    </row>
    <row r="5" spans="1:5" x14ac:dyDescent="0.3">
      <c r="A5" s="14" t="s">
        <v>4</v>
      </c>
      <c r="B5" s="15"/>
    </row>
    <row r="6" spans="1:5" x14ac:dyDescent="0.3">
      <c r="A6" s="14" t="s">
        <v>5</v>
      </c>
      <c r="B6" s="15"/>
    </row>
    <row r="7" spans="1:5" x14ac:dyDescent="0.3">
      <c r="A7" s="14" t="s">
        <v>6</v>
      </c>
      <c r="B7" s="15"/>
    </row>
    <row r="8" spans="1:5" x14ac:dyDescent="0.3">
      <c r="A8" s="14" t="s">
        <v>7</v>
      </c>
      <c r="B8" s="15"/>
    </row>
    <row r="12" spans="1:5" ht="23.5" thickBot="1" x14ac:dyDescent="0.55000000000000004">
      <c r="A12" s="22" t="s">
        <v>9</v>
      </c>
    </row>
    <row r="13" spans="1:5" x14ac:dyDescent="0.3">
      <c r="A13" s="2" t="s">
        <v>10</v>
      </c>
      <c r="B13" s="17"/>
    </row>
    <row r="14" spans="1:5" x14ac:dyDescent="0.3">
      <c r="A14" s="3" t="s">
        <v>11</v>
      </c>
      <c r="B14" s="18"/>
    </row>
    <row r="15" spans="1:5" x14ac:dyDescent="0.3">
      <c r="A15" s="3" t="s">
        <v>12</v>
      </c>
      <c r="B15" s="18"/>
    </row>
    <row r="16" spans="1:5" ht="28" x14ac:dyDescent="0.3">
      <c r="A16" s="4" t="s">
        <v>13</v>
      </c>
      <c r="B16" s="18"/>
    </row>
    <row r="17" spans="1:14" ht="28.5" thickBot="1" x14ac:dyDescent="0.35">
      <c r="A17" s="5" t="s">
        <v>14</v>
      </c>
      <c r="B17" s="19"/>
    </row>
    <row r="20" spans="1:14" ht="20" x14ac:dyDescent="0.4">
      <c r="B20" s="23" t="s">
        <v>22</v>
      </c>
      <c r="C20" s="1"/>
      <c r="D20" s="1"/>
      <c r="E20" s="1"/>
      <c r="F20" s="1"/>
      <c r="G20" s="1"/>
      <c r="I20" s="23" t="s">
        <v>21</v>
      </c>
    </row>
    <row r="21" spans="1:14" x14ac:dyDescent="0.3">
      <c r="B21" s="7" t="s">
        <v>15</v>
      </c>
      <c r="C21" s="7" t="s">
        <v>16</v>
      </c>
      <c r="D21" s="7" t="s">
        <v>17</v>
      </c>
      <c r="E21" s="7" t="s">
        <v>18</v>
      </c>
      <c r="F21" s="7" t="s">
        <v>19</v>
      </c>
      <c r="G21" s="7" t="s">
        <v>20</v>
      </c>
      <c r="I21" s="11" t="s">
        <v>15</v>
      </c>
      <c r="J21" s="11" t="s">
        <v>16</v>
      </c>
      <c r="K21" s="11" t="s">
        <v>17</v>
      </c>
      <c r="L21" s="11" t="s">
        <v>18</v>
      </c>
      <c r="M21" s="11" t="s">
        <v>19</v>
      </c>
      <c r="N21" s="21" t="s">
        <v>20</v>
      </c>
    </row>
    <row r="22" spans="1:14" x14ac:dyDescent="0.3">
      <c r="B22" s="8"/>
      <c r="C22" s="8"/>
      <c r="D22" s="8"/>
      <c r="E22" s="8"/>
      <c r="F22" s="8"/>
      <c r="G22" s="9"/>
      <c r="I22" s="16"/>
      <c r="J22" s="16"/>
      <c r="K22" s="16"/>
      <c r="L22" s="16"/>
      <c r="M22" s="16"/>
      <c r="N22" s="16"/>
    </row>
    <row r="23" spans="1:14" x14ac:dyDescent="0.3">
      <c r="B23" s="10"/>
      <c r="C23" s="10"/>
      <c r="D23" s="10"/>
      <c r="E23" s="10"/>
      <c r="F23" s="10"/>
      <c r="G23" s="9"/>
    </row>
    <row r="24" spans="1:14" x14ac:dyDescent="0.3">
      <c r="B24" s="10"/>
      <c r="C24" s="10"/>
      <c r="D24" s="10"/>
      <c r="E24" s="10"/>
      <c r="F24" s="10"/>
      <c r="G24" s="9"/>
    </row>
    <row r="25" spans="1:14" x14ac:dyDescent="0.3">
      <c r="B25" s="10"/>
      <c r="C25" s="10"/>
      <c r="D25" s="10"/>
      <c r="E25" s="10"/>
      <c r="F25" s="10"/>
      <c r="G25" s="9"/>
    </row>
    <row r="26" spans="1:14" x14ac:dyDescent="0.3">
      <c r="B26" s="10"/>
      <c r="C26" s="10"/>
      <c r="D26" s="10"/>
      <c r="E26" s="10"/>
      <c r="F26" s="10"/>
      <c r="G26" s="9"/>
    </row>
    <row r="27" spans="1:14" x14ac:dyDescent="0.3">
      <c r="B27" s="10"/>
      <c r="C27" s="10"/>
      <c r="D27" s="10"/>
      <c r="E27" s="10"/>
      <c r="F27" s="10"/>
      <c r="G27" s="9"/>
    </row>
    <row r="28" spans="1:14" ht="15.5" x14ac:dyDescent="0.35">
      <c r="A28" s="6"/>
      <c r="B28" s="20"/>
      <c r="C28" s="20"/>
      <c r="D28" s="20"/>
      <c r="E28" s="20"/>
      <c r="F28" s="20"/>
      <c r="G28" s="20"/>
    </row>
    <row r="29" spans="1:14" x14ac:dyDescent="0.3">
      <c r="B29" s="1"/>
      <c r="C29" s="1"/>
      <c r="D29" s="1"/>
      <c r="E29" s="1"/>
      <c r="F29" s="1"/>
      <c r="G29" s="1"/>
    </row>
  </sheetData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9"/>
  <sheetViews>
    <sheetView zoomScale="85" zoomScaleNormal="85" workbookViewId="0">
      <selection activeCell="N10" sqref="N10:O10"/>
    </sheetView>
  </sheetViews>
  <sheetFormatPr defaultRowHeight="14" x14ac:dyDescent="0.3"/>
  <cols>
    <col min="1" max="1" width="12.5" bestFit="1" customWidth="1"/>
    <col min="2" max="2" width="41.1640625" customWidth="1"/>
    <col min="4" max="4" width="8.58203125" customWidth="1"/>
    <col min="5" max="5" width="4" customWidth="1"/>
    <col min="7" max="7" width="8.58203125" customWidth="1"/>
    <col min="12" max="12" width="5.25" customWidth="1"/>
    <col min="13" max="13" width="3.58203125" customWidth="1"/>
  </cols>
  <sheetData>
    <row r="1" spans="1:16" s="25" customFormat="1" x14ac:dyDescent="0.3">
      <c r="N1" s="30"/>
      <c r="O1" s="30" t="s">
        <v>170</v>
      </c>
      <c r="P1" s="30"/>
    </row>
    <row r="2" spans="1:16" x14ac:dyDescent="0.3">
      <c r="A2" s="68" t="s">
        <v>25</v>
      </c>
      <c r="B2" s="26" t="s">
        <v>28</v>
      </c>
      <c r="C2" s="27">
        <v>1</v>
      </c>
      <c r="D2" s="26" t="s">
        <v>34</v>
      </c>
      <c r="E2" s="27">
        <v>0</v>
      </c>
      <c r="F2" s="26" t="s">
        <v>40</v>
      </c>
      <c r="G2" s="27">
        <v>0</v>
      </c>
      <c r="H2" s="26" t="s">
        <v>46</v>
      </c>
      <c r="I2" s="27">
        <v>0</v>
      </c>
      <c r="J2" s="26" t="s">
        <v>56</v>
      </c>
      <c r="K2" s="27">
        <v>0</v>
      </c>
      <c r="L2" s="26" t="s">
        <v>63</v>
      </c>
      <c r="M2" s="27">
        <v>0</v>
      </c>
      <c r="N2" s="13" t="s">
        <v>0</v>
      </c>
      <c r="O2" s="13" t="s">
        <v>1</v>
      </c>
      <c r="P2" s="30"/>
    </row>
    <row r="3" spans="1:16" x14ac:dyDescent="0.3">
      <c r="A3" s="68"/>
      <c r="B3" s="26" t="s">
        <v>29</v>
      </c>
      <c r="C3" s="27">
        <v>0</v>
      </c>
      <c r="D3" s="26" t="s">
        <v>35</v>
      </c>
      <c r="E3" s="27">
        <v>1</v>
      </c>
      <c r="F3" s="26" t="s">
        <v>41</v>
      </c>
      <c r="G3" s="27">
        <v>0</v>
      </c>
      <c r="H3" s="26" t="s">
        <v>47</v>
      </c>
      <c r="I3" s="27">
        <v>0</v>
      </c>
      <c r="J3" s="26" t="s">
        <v>57</v>
      </c>
      <c r="K3" s="27">
        <v>0</v>
      </c>
      <c r="L3" s="26" t="s">
        <v>64</v>
      </c>
      <c r="M3" s="27">
        <v>0</v>
      </c>
      <c r="N3" s="14" t="s">
        <v>2</v>
      </c>
      <c r="O3" s="15">
        <v>50</v>
      </c>
      <c r="P3" s="30"/>
    </row>
    <row r="4" spans="1:16" x14ac:dyDescent="0.3">
      <c r="A4" s="68"/>
      <c r="B4" s="26" t="s">
        <v>30</v>
      </c>
      <c r="C4" s="27">
        <v>0</v>
      </c>
      <c r="D4" s="26" t="s">
        <v>36</v>
      </c>
      <c r="E4" s="27">
        <v>1</v>
      </c>
      <c r="F4" s="26" t="s">
        <v>42</v>
      </c>
      <c r="G4" s="27">
        <v>0</v>
      </c>
      <c r="H4" s="26" t="s">
        <v>48</v>
      </c>
      <c r="I4" s="27">
        <v>0</v>
      </c>
      <c r="J4" s="26" t="s">
        <v>58</v>
      </c>
      <c r="K4" s="27">
        <v>0</v>
      </c>
      <c r="L4" s="26" t="s">
        <v>65</v>
      </c>
      <c r="M4" s="27">
        <v>0</v>
      </c>
      <c r="N4" s="14" t="s">
        <v>3</v>
      </c>
      <c r="O4" s="15">
        <v>12</v>
      </c>
      <c r="P4" s="30"/>
    </row>
    <row r="5" spans="1:16" x14ac:dyDescent="0.3">
      <c r="A5" s="68"/>
      <c r="B5" s="26" t="s">
        <v>31</v>
      </c>
      <c r="C5" s="27">
        <v>0</v>
      </c>
      <c r="D5" s="26" t="s">
        <v>37</v>
      </c>
      <c r="E5" s="27">
        <v>0</v>
      </c>
      <c r="F5" s="26" t="s">
        <v>43</v>
      </c>
      <c r="G5" s="27">
        <v>1</v>
      </c>
      <c r="H5" s="26" t="s">
        <v>49</v>
      </c>
      <c r="I5" s="27">
        <v>0</v>
      </c>
      <c r="J5" s="26" t="s">
        <v>59</v>
      </c>
      <c r="K5" s="27">
        <v>0</v>
      </c>
      <c r="L5" s="26" t="s">
        <v>66</v>
      </c>
      <c r="M5" s="27">
        <v>0</v>
      </c>
      <c r="N5" s="14" t="s">
        <v>4</v>
      </c>
      <c r="O5" s="15">
        <v>19</v>
      </c>
      <c r="P5" s="30"/>
    </row>
    <row r="6" spans="1:16" x14ac:dyDescent="0.3">
      <c r="A6" s="68"/>
      <c r="B6" s="26" t="s">
        <v>32</v>
      </c>
      <c r="C6" s="27">
        <v>0</v>
      </c>
      <c r="D6" s="26" t="s">
        <v>38</v>
      </c>
      <c r="E6" s="27">
        <v>0</v>
      </c>
      <c r="F6" s="26" t="s">
        <v>44</v>
      </c>
      <c r="G6" s="27">
        <v>1</v>
      </c>
      <c r="H6" s="26" t="s">
        <v>50</v>
      </c>
      <c r="I6" s="27">
        <v>0</v>
      </c>
      <c r="J6" s="26" t="s">
        <v>60</v>
      </c>
      <c r="K6" s="27">
        <v>0</v>
      </c>
      <c r="L6" s="26" t="s">
        <v>67</v>
      </c>
      <c r="M6" s="27">
        <v>0</v>
      </c>
      <c r="N6" s="14" t="s">
        <v>5</v>
      </c>
      <c r="O6" s="15">
        <v>32</v>
      </c>
      <c r="P6" s="30"/>
    </row>
    <row r="7" spans="1:16" x14ac:dyDescent="0.3">
      <c r="A7" s="68"/>
      <c r="B7" s="26" t="s">
        <v>33</v>
      </c>
      <c r="C7" s="27">
        <v>0</v>
      </c>
      <c r="D7" s="26" t="s">
        <v>39</v>
      </c>
      <c r="E7" s="27">
        <v>1</v>
      </c>
      <c r="F7" s="26" t="s">
        <v>45</v>
      </c>
      <c r="G7" s="27">
        <v>0</v>
      </c>
      <c r="H7" s="26" t="s">
        <v>51</v>
      </c>
      <c r="I7" s="27">
        <v>0</v>
      </c>
      <c r="J7" s="26" t="s">
        <v>61</v>
      </c>
      <c r="K7" s="27">
        <v>0</v>
      </c>
      <c r="L7" s="26" t="s">
        <v>68</v>
      </c>
      <c r="M7" s="27">
        <v>0</v>
      </c>
      <c r="N7" s="14" t="s">
        <v>6</v>
      </c>
      <c r="O7" s="15">
        <v>9</v>
      </c>
      <c r="P7" s="30"/>
    </row>
    <row r="8" spans="1:16" x14ac:dyDescent="0.3">
      <c r="A8" s="68"/>
      <c r="B8" s="26" t="s">
        <v>52</v>
      </c>
      <c r="C8" s="27">
        <v>1</v>
      </c>
      <c r="D8" s="26" t="s">
        <v>53</v>
      </c>
      <c r="E8" s="27">
        <v>1</v>
      </c>
      <c r="F8" s="26" t="s">
        <v>54</v>
      </c>
      <c r="G8" s="27">
        <v>1</v>
      </c>
      <c r="H8" s="26" t="s">
        <v>55</v>
      </c>
      <c r="I8" s="27">
        <v>0</v>
      </c>
      <c r="J8" s="26" t="s">
        <v>62</v>
      </c>
      <c r="K8" s="27">
        <v>0</v>
      </c>
      <c r="L8" s="26" t="s">
        <v>69</v>
      </c>
      <c r="M8" s="27">
        <v>0</v>
      </c>
      <c r="N8" s="14" t="s">
        <v>7</v>
      </c>
      <c r="O8" s="15">
        <v>18</v>
      </c>
      <c r="P8" s="30"/>
    </row>
    <row r="9" spans="1:16" ht="14.15" customHeight="1" x14ac:dyDescent="0.3">
      <c r="A9" s="28" t="s">
        <v>26</v>
      </c>
      <c r="B9" s="27" t="s">
        <v>99</v>
      </c>
      <c r="C9" s="27">
        <f>SUM(C8,E8,G8,I8,K8,M8)</f>
        <v>3</v>
      </c>
      <c r="D9" s="29" t="s">
        <v>70</v>
      </c>
      <c r="E9" s="25"/>
      <c r="F9" s="25"/>
      <c r="G9" s="25"/>
      <c r="H9" s="25"/>
      <c r="I9" s="25"/>
      <c r="J9" s="25"/>
      <c r="K9" s="25"/>
      <c r="L9" s="25"/>
      <c r="M9" s="25"/>
      <c r="N9" s="30"/>
      <c r="O9" s="30"/>
      <c r="P9" s="30"/>
    </row>
    <row r="10" spans="1:16" x14ac:dyDescent="0.3">
      <c r="A10" s="70" t="s">
        <v>27</v>
      </c>
      <c r="B10" s="33" t="s">
        <v>85</v>
      </c>
      <c r="C10" s="27">
        <f t="shared" ref="C10:C15" si="0">SUM(C2,E2,G2,I2,K2,M2)</f>
        <v>1</v>
      </c>
      <c r="D10" s="69" t="s">
        <v>71</v>
      </c>
      <c r="E10" s="25"/>
      <c r="F10" s="31"/>
      <c r="G10" s="31"/>
      <c r="H10" s="31"/>
      <c r="I10" s="31"/>
      <c r="J10" s="31"/>
      <c r="K10" s="64"/>
      <c r="L10" s="32"/>
      <c r="M10" s="25"/>
      <c r="N10" s="24" t="s">
        <v>4</v>
      </c>
      <c r="O10" s="12">
        <v>50</v>
      </c>
      <c r="P10" s="30"/>
    </row>
    <row r="11" spans="1:16" x14ac:dyDescent="0.3">
      <c r="A11" s="70"/>
      <c r="B11" s="33" t="s">
        <v>86</v>
      </c>
      <c r="C11" s="27">
        <f t="shared" si="0"/>
        <v>1</v>
      </c>
      <c r="D11" s="69"/>
      <c r="E11" s="25"/>
      <c r="F11" s="31"/>
      <c r="G11" s="31"/>
      <c r="H11" s="31"/>
      <c r="I11" s="31"/>
      <c r="J11" s="31"/>
      <c r="K11" s="31"/>
      <c r="L11" s="32"/>
      <c r="M11" s="32"/>
      <c r="N11" s="32"/>
      <c r="O11" s="32"/>
      <c r="P11" s="32"/>
    </row>
    <row r="12" spans="1:16" x14ac:dyDescent="0.3">
      <c r="A12" s="70"/>
      <c r="B12" s="33" t="s">
        <v>87</v>
      </c>
      <c r="C12" s="27">
        <f t="shared" si="0"/>
        <v>1</v>
      </c>
      <c r="D12" s="69"/>
      <c r="E12" s="25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</row>
    <row r="13" spans="1:16" x14ac:dyDescent="0.3">
      <c r="A13" s="70"/>
      <c r="B13" s="33" t="s">
        <v>88</v>
      </c>
      <c r="C13" s="27">
        <f t="shared" si="0"/>
        <v>1</v>
      </c>
      <c r="D13" s="69"/>
      <c r="E13" s="25"/>
      <c r="F13" s="31"/>
      <c r="G13" s="31"/>
      <c r="H13" s="31"/>
      <c r="I13" s="31"/>
      <c r="J13" s="31"/>
      <c r="K13" s="31"/>
      <c r="L13" s="32"/>
      <c r="M13" s="32"/>
      <c r="N13" s="32"/>
      <c r="O13" s="32"/>
      <c r="P13" s="32"/>
    </row>
    <row r="14" spans="1:16" x14ac:dyDescent="0.3">
      <c r="A14" s="70"/>
      <c r="B14" s="33" t="s">
        <v>89</v>
      </c>
      <c r="C14" s="27">
        <f t="shared" si="0"/>
        <v>1</v>
      </c>
      <c r="D14" s="69"/>
      <c r="E14" s="25"/>
      <c r="F14" s="31"/>
      <c r="G14" s="31"/>
      <c r="H14" s="31"/>
      <c r="I14" s="31"/>
      <c r="J14" s="31"/>
      <c r="K14" s="31"/>
      <c r="L14" s="32"/>
      <c r="M14" s="32"/>
      <c r="N14" s="32"/>
      <c r="O14" s="32"/>
      <c r="P14" s="32"/>
    </row>
    <row r="15" spans="1:16" x14ac:dyDescent="0.3">
      <c r="A15" s="70"/>
      <c r="B15" s="33" t="s">
        <v>90</v>
      </c>
      <c r="C15" s="27">
        <f t="shared" si="0"/>
        <v>1</v>
      </c>
      <c r="D15" s="69"/>
      <c r="E15" s="25"/>
      <c r="F15" s="31"/>
      <c r="G15" s="31"/>
      <c r="H15" s="31"/>
      <c r="I15" s="31"/>
      <c r="J15" s="31"/>
      <c r="K15" s="31"/>
      <c r="L15" s="32"/>
      <c r="M15" s="32"/>
      <c r="N15" s="32"/>
      <c r="O15" s="32"/>
      <c r="P15" s="32"/>
    </row>
    <row r="16" spans="1:16" x14ac:dyDescent="0.3">
      <c r="A16" s="70"/>
      <c r="B16" s="33" t="s">
        <v>72</v>
      </c>
      <c r="C16" s="27">
        <f>(O3*C2)+(O4*C3)+(O5*C4)+(O6*C5)+(O7*C6)+(O8*C7)</f>
        <v>50</v>
      </c>
      <c r="D16" s="69" t="s">
        <v>73</v>
      </c>
      <c r="E16" s="25"/>
      <c r="F16" s="31"/>
      <c r="G16" s="31"/>
      <c r="H16" s="31"/>
      <c r="I16" s="31"/>
      <c r="J16" s="31"/>
      <c r="K16" s="31"/>
      <c r="L16" s="32"/>
      <c r="M16" s="32"/>
      <c r="N16" s="32"/>
      <c r="O16" s="32"/>
      <c r="P16" s="32"/>
    </row>
    <row r="17" spans="1:16" x14ac:dyDescent="0.3">
      <c r="A17" s="70"/>
      <c r="B17" s="33" t="s">
        <v>74</v>
      </c>
      <c r="C17" s="27">
        <f>(O3*E2)+(O4*E3)+(O5*E4)+(O6*E5)+(O7*E6)+(O8*E7)</f>
        <v>49</v>
      </c>
      <c r="D17" s="69"/>
      <c r="E17" s="25"/>
      <c r="F17" s="31"/>
      <c r="G17" s="31"/>
      <c r="H17" s="31"/>
      <c r="I17" s="31"/>
      <c r="J17" s="31"/>
      <c r="K17" s="31"/>
      <c r="L17" s="32"/>
      <c r="M17" s="32"/>
      <c r="N17" s="32"/>
      <c r="O17" s="32"/>
      <c r="P17" s="32"/>
    </row>
    <row r="18" spans="1:16" x14ac:dyDescent="0.3">
      <c r="A18" s="70"/>
      <c r="B18" s="33" t="s">
        <v>75</v>
      </c>
      <c r="C18" s="27">
        <f>(O3*G2)+(O4*G3)+(O5*G4)+(O6*G5)+(O7*G6)+(O8*G7)</f>
        <v>41</v>
      </c>
      <c r="D18" s="69"/>
      <c r="F18" s="31"/>
      <c r="G18" s="31"/>
      <c r="H18" s="31"/>
      <c r="I18" s="31"/>
      <c r="J18" s="31"/>
      <c r="K18" s="31"/>
      <c r="L18" s="32"/>
      <c r="M18" s="32"/>
      <c r="N18" s="32"/>
      <c r="O18" s="32"/>
      <c r="P18" s="32"/>
    </row>
    <row r="19" spans="1:16" x14ac:dyDescent="0.3">
      <c r="A19" s="70"/>
      <c r="B19" s="33" t="s">
        <v>76</v>
      </c>
      <c r="C19" s="27">
        <f>(O3*I2)+(O4*I3)+(O5*I4)+(O6*I5)+(O7*I6)+(O8*I7)</f>
        <v>0</v>
      </c>
      <c r="D19" s="69"/>
      <c r="F19" s="31"/>
      <c r="G19" s="31"/>
      <c r="H19" s="31"/>
      <c r="I19" s="31"/>
      <c r="J19" s="31"/>
      <c r="K19" s="31"/>
      <c r="L19" s="32"/>
      <c r="M19" s="32"/>
      <c r="N19" s="32"/>
      <c r="O19" s="32"/>
      <c r="P19" s="32"/>
    </row>
    <row r="20" spans="1:16" x14ac:dyDescent="0.3">
      <c r="A20" s="70"/>
      <c r="B20" s="33" t="s">
        <v>77</v>
      </c>
      <c r="C20" s="27">
        <f>(O3*K2)+(O4*K3)+(O5*K4)+(O6*K5)+(O7*K6)+(O8*K7)</f>
        <v>0</v>
      </c>
      <c r="D20" s="69"/>
      <c r="F20" s="31"/>
      <c r="G20" s="31"/>
      <c r="H20" s="31"/>
      <c r="I20" s="31"/>
      <c r="J20" s="31"/>
      <c r="K20" s="31"/>
      <c r="L20" s="32"/>
    </row>
    <row r="21" spans="1:16" x14ac:dyDescent="0.3">
      <c r="A21" s="70"/>
      <c r="B21" s="33" t="s">
        <v>78</v>
      </c>
      <c r="C21" s="27">
        <f>(O3*M2)+(O4*M3)+(O5*M4)+(O6*M5)+(O7*M6)+(O8*M7)</f>
        <v>0</v>
      </c>
      <c r="D21" s="69"/>
      <c r="F21" s="63"/>
      <c r="G21" s="63"/>
      <c r="H21" s="63"/>
      <c r="I21" s="63"/>
      <c r="J21" s="63"/>
      <c r="K21" s="63"/>
      <c r="L21" s="32"/>
    </row>
    <row r="22" spans="1:16" x14ac:dyDescent="0.3">
      <c r="A22" s="70"/>
      <c r="B22" s="33" t="s">
        <v>79</v>
      </c>
      <c r="C22" s="27">
        <f>(6*C8)-(SUM(C2:C7))</f>
        <v>5</v>
      </c>
      <c r="D22" s="65" t="s">
        <v>98</v>
      </c>
      <c r="F22" s="32"/>
      <c r="G22" s="32"/>
      <c r="H22" s="32"/>
      <c r="I22" s="32"/>
      <c r="J22" s="32"/>
      <c r="K22" s="32"/>
      <c r="L22" s="32"/>
    </row>
    <row r="23" spans="1:16" ht="14.15" customHeight="1" x14ac:dyDescent="0.3">
      <c r="A23" s="70"/>
      <c r="B23" s="34" t="s">
        <v>80</v>
      </c>
      <c r="C23" s="27">
        <f>(6*E8)-(SUM(E2:E7))</f>
        <v>3</v>
      </c>
      <c r="D23" s="66"/>
      <c r="F23" s="31"/>
      <c r="G23" s="31"/>
      <c r="H23" s="31"/>
      <c r="I23" s="31"/>
      <c r="J23" s="31"/>
      <c r="K23" s="31"/>
      <c r="L23" s="32"/>
    </row>
    <row r="24" spans="1:16" x14ac:dyDescent="0.3">
      <c r="A24" s="70"/>
      <c r="B24" s="33" t="s">
        <v>81</v>
      </c>
      <c r="C24" s="27">
        <f>(6*G8)-(SUM(G2:G7))</f>
        <v>4</v>
      </c>
      <c r="D24" s="66"/>
      <c r="F24" s="32"/>
      <c r="G24" s="32"/>
      <c r="H24" s="32"/>
      <c r="I24" s="32"/>
      <c r="J24" s="32"/>
      <c r="K24" s="32"/>
      <c r="L24" s="32"/>
    </row>
    <row r="25" spans="1:16" x14ac:dyDescent="0.3">
      <c r="A25" s="70"/>
      <c r="B25" s="33" t="s">
        <v>82</v>
      </c>
      <c r="C25" s="27">
        <f>(6*I8)-(SUM(I2:I7))</f>
        <v>0</v>
      </c>
      <c r="D25" s="66"/>
      <c r="F25" s="32"/>
      <c r="G25" s="32"/>
      <c r="H25" s="32"/>
      <c r="I25" s="32"/>
      <c r="J25" s="32"/>
      <c r="K25" s="32"/>
      <c r="L25" s="32"/>
    </row>
    <row r="26" spans="1:16" x14ac:dyDescent="0.3">
      <c r="A26" s="70"/>
      <c r="B26" s="33" t="s">
        <v>83</v>
      </c>
      <c r="C26" s="27">
        <f>(6*K8)-(SUM(K2:K7))</f>
        <v>0</v>
      </c>
      <c r="D26" s="66"/>
      <c r="F26" s="32"/>
      <c r="G26" s="32"/>
      <c r="H26" s="32"/>
      <c r="I26" s="32"/>
      <c r="J26" s="32"/>
      <c r="K26" s="32"/>
      <c r="L26" s="32"/>
    </row>
    <row r="27" spans="1:16" x14ac:dyDescent="0.3">
      <c r="A27" s="70"/>
      <c r="B27" s="33" t="s">
        <v>84</v>
      </c>
      <c r="C27" s="27">
        <f>(6*M8)-(SUM(M2:M7))</f>
        <v>0</v>
      </c>
      <c r="D27" s="67"/>
      <c r="F27" s="32"/>
      <c r="G27" s="32"/>
      <c r="H27" s="32"/>
      <c r="I27" s="32"/>
      <c r="J27" s="32"/>
      <c r="K27" s="32"/>
      <c r="L27" s="32"/>
    </row>
    <row r="28" spans="1:16" x14ac:dyDescent="0.3">
      <c r="A28" s="70"/>
      <c r="B28" s="33" t="s">
        <v>91</v>
      </c>
      <c r="C28" s="27">
        <f>1*C2+2*E2+3*G2+4*I2+5*K2+6*M2-(1*C4+2*E4+3*G4+4*I4+5*K4+6*M4)</f>
        <v>-1</v>
      </c>
      <c r="D28" s="69" t="s">
        <v>97</v>
      </c>
    </row>
    <row r="29" spans="1:16" x14ac:dyDescent="0.3">
      <c r="A29" s="70"/>
      <c r="B29" s="33" t="s">
        <v>92</v>
      </c>
      <c r="C29" s="27">
        <f>1*C2+2*E2+3*G2+4*I2+5*K2+6*M2-(1*C5+2*E5+3*G5+4*I5+5*K5+6*M5)</f>
        <v>-2</v>
      </c>
      <c r="D29" s="69"/>
    </row>
    <row r="30" spans="1:16" x14ac:dyDescent="0.3">
      <c r="A30" s="70"/>
      <c r="B30" s="33" t="s">
        <v>93</v>
      </c>
      <c r="C30" s="27">
        <f>1*C3+2*E3+3*G3+4*I3+5*K3+6*M3-(1*C5+2*E5+3*G5+4*I5+5*K5+6*M5)</f>
        <v>-1</v>
      </c>
      <c r="D30" s="69"/>
    </row>
    <row r="31" spans="1:16" x14ac:dyDescent="0.3">
      <c r="A31" s="70"/>
      <c r="B31" s="33" t="s">
        <v>94</v>
      </c>
      <c r="C31" s="27">
        <f>1*C3+2*E3+3*G3+4*I3+5*K3+6*M3-(1*C6+2*E6+3*G6+4*I6+5*K6+6*M6)</f>
        <v>-1</v>
      </c>
      <c r="D31" s="69"/>
    </row>
    <row r="32" spans="1:16" x14ac:dyDescent="0.3">
      <c r="A32" s="70"/>
      <c r="B32" s="35" t="s">
        <v>100</v>
      </c>
      <c r="C32" s="27"/>
      <c r="D32" s="65" t="s">
        <v>105</v>
      </c>
    </row>
    <row r="33" spans="1:4" x14ac:dyDescent="0.3">
      <c r="A33" s="70"/>
      <c r="B33" s="35" t="s">
        <v>101</v>
      </c>
      <c r="C33" s="27"/>
      <c r="D33" s="66"/>
    </row>
    <row r="34" spans="1:4" x14ac:dyDescent="0.3">
      <c r="A34" s="70"/>
      <c r="B34" s="35" t="s">
        <v>102</v>
      </c>
      <c r="C34" s="27"/>
      <c r="D34" s="66"/>
    </row>
    <row r="35" spans="1:4" x14ac:dyDescent="0.3">
      <c r="A35" s="70"/>
      <c r="B35" s="35" t="s">
        <v>103</v>
      </c>
      <c r="C35" s="27"/>
      <c r="D35" s="66"/>
    </row>
    <row r="36" spans="1:4" x14ac:dyDescent="0.3">
      <c r="A36" s="70"/>
      <c r="B36" s="35" t="s">
        <v>104</v>
      </c>
      <c r="C36" s="27"/>
      <c r="D36" s="67"/>
    </row>
    <row r="37" spans="1:4" x14ac:dyDescent="0.3">
      <c r="A37" s="70"/>
    </row>
    <row r="38" spans="1:4" x14ac:dyDescent="0.3">
      <c r="A38" s="70"/>
      <c r="B38" s="33" t="s">
        <v>95</v>
      </c>
    </row>
    <row r="39" spans="1:4" x14ac:dyDescent="0.3">
      <c r="A39" s="70"/>
      <c r="B39" s="33" t="s">
        <v>96</v>
      </c>
    </row>
  </sheetData>
  <sortState ref="F27:F32">
    <sortCondition ref="F26"/>
  </sortState>
  <mergeCells count="7">
    <mergeCell ref="D32:D36"/>
    <mergeCell ref="A2:A8"/>
    <mergeCell ref="D10:D15"/>
    <mergeCell ref="D16:D21"/>
    <mergeCell ref="D28:D31"/>
    <mergeCell ref="D22:D27"/>
    <mergeCell ref="A10:A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7"/>
  <sheetViews>
    <sheetView workbookViewId="0">
      <selection activeCell="A2" sqref="A2:C7"/>
    </sheetView>
  </sheetViews>
  <sheetFormatPr defaultRowHeight="14" x14ac:dyDescent="0.3"/>
  <cols>
    <col min="5" max="5" width="13.83203125" bestFit="1" customWidth="1"/>
  </cols>
  <sheetData>
    <row r="1" spans="1:5" x14ac:dyDescent="0.3">
      <c r="A1" s="13" t="s">
        <v>0</v>
      </c>
      <c r="B1" s="13" t="s">
        <v>1</v>
      </c>
      <c r="C1" s="13" t="s">
        <v>23</v>
      </c>
      <c r="E1" s="13" t="s">
        <v>24</v>
      </c>
    </row>
    <row r="2" spans="1:5" x14ac:dyDescent="0.3">
      <c r="A2" s="14" t="s">
        <v>2</v>
      </c>
      <c r="B2" s="15">
        <v>50</v>
      </c>
      <c r="C2">
        <v>101</v>
      </c>
      <c r="E2">
        <f>SUM(B2,B4,B5)</f>
        <v>101</v>
      </c>
    </row>
    <row r="3" spans="1:5" x14ac:dyDescent="0.3">
      <c r="A3" s="14" t="s">
        <v>3</v>
      </c>
      <c r="B3" s="15">
        <v>12</v>
      </c>
      <c r="C3">
        <v>53</v>
      </c>
      <c r="E3">
        <f>SUM(B3,B5,B6)</f>
        <v>49</v>
      </c>
    </row>
    <row r="4" spans="1:5" x14ac:dyDescent="0.3">
      <c r="A4" s="14" t="s">
        <v>5</v>
      </c>
      <c r="B4" s="15">
        <v>32</v>
      </c>
      <c r="C4">
        <v>32</v>
      </c>
      <c r="E4">
        <f>SUM(B4)</f>
        <v>32</v>
      </c>
    </row>
    <row r="5" spans="1:5" x14ac:dyDescent="0.3">
      <c r="A5" s="14" t="s">
        <v>4</v>
      </c>
      <c r="B5" s="15">
        <v>19</v>
      </c>
      <c r="C5">
        <v>19</v>
      </c>
      <c r="E5">
        <f>SUM(B5)</f>
        <v>19</v>
      </c>
    </row>
    <row r="6" spans="1:5" x14ac:dyDescent="0.3">
      <c r="A6" s="14" t="s">
        <v>7</v>
      </c>
      <c r="B6" s="15">
        <v>18</v>
      </c>
      <c r="C6">
        <v>18</v>
      </c>
      <c r="E6">
        <f>SUM(B6)</f>
        <v>18</v>
      </c>
    </row>
    <row r="7" spans="1:5" x14ac:dyDescent="0.3">
      <c r="A7" s="14" t="s">
        <v>6</v>
      </c>
      <c r="B7" s="15">
        <v>9</v>
      </c>
      <c r="C7">
        <v>9</v>
      </c>
      <c r="E7">
        <f>SUM(B7)</f>
        <v>9</v>
      </c>
    </row>
  </sheetData>
  <sortState ref="A2:C7">
    <sortCondition descending="1" ref="C2:C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גיליון2"/>
  <dimension ref="A1:W54"/>
  <sheetViews>
    <sheetView zoomScale="57" zoomScaleNormal="100" workbookViewId="0">
      <selection activeCell="R17" sqref="R17"/>
    </sheetView>
  </sheetViews>
  <sheetFormatPr defaultRowHeight="14" x14ac:dyDescent="0.3"/>
  <cols>
    <col min="1" max="1" width="8.58203125" style="43"/>
  </cols>
  <sheetData>
    <row r="1" spans="1:23" ht="15.5" thickBot="1" x14ac:dyDescent="0.35">
      <c r="A1" s="36" t="s">
        <v>106</v>
      </c>
      <c r="B1" s="37" t="s">
        <v>2</v>
      </c>
      <c r="C1" s="37" t="s">
        <v>3</v>
      </c>
      <c r="D1" s="37" t="s">
        <v>4</v>
      </c>
      <c r="E1" s="37" t="s">
        <v>5</v>
      </c>
      <c r="F1" s="37" t="s">
        <v>6</v>
      </c>
      <c r="G1" s="37" t="s">
        <v>7</v>
      </c>
      <c r="H1" s="37" t="s">
        <v>107</v>
      </c>
      <c r="I1" s="37" t="s">
        <v>108</v>
      </c>
      <c r="J1" s="37" t="s">
        <v>109</v>
      </c>
      <c r="L1" s="46" t="s">
        <v>156</v>
      </c>
      <c r="M1">
        <v>8</v>
      </c>
    </row>
    <row r="2" spans="1:23" ht="15" x14ac:dyDescent="0.3">
      <c r="A2" s="38" t="s">
        <v>110</v>
      </c>
      <c r="B2" s="71" t="s">
        <v>112</v>
      </c>
      <c r="C2" s="71" t="s">
        <v>112</v>
      </c>
      <c r="D2" s="71" t="s">
        <v>2</v>
      </c>
      <c r="E2" s="71" t="s">
        <v>113</v>
      </c>
      <c r="F2" s="71" t="s">
        <v>3</v>
      </c>
      <c r="G2" s="71" t="s">
        <v>113</v>
      </c>
      <c r="H2" s="71" t="s">
        <v>114</v>
      </c>
      <c r="I2" s="71" t="s">
        <v>7</v>
      </c>
      <c r="J2" s="73" t="s">
        <v>115</v>
      </c>
    </row>
    <row r="3" spans="1:23" ht="15.5" thickBot="1" x14ac:dyDescent="0.35">
      <c r="A3" s="39" t="s">
        <v>111</v>
      </c>
      <c r="B3" s="72"/>
      <c r="C3" s="72"/>
      <c r="D3" s="72"/>
      <c r="E3" s="72"/>
      <c r="F3" s="72"/>
      <c r="G3" s="72"/>
      <c r="H3" s="72"/>
      <c r="I3" s="72"/>
      <c r="J3" s="74"/>
    </row>
    <row r="4" spans="1:23" ht="30.5" thickBot="1" x14ac:dyDescent="0.35">
      <c r="A4" s="39" t="s">
        <v>116</v>
      </c>
      <c r="B4" s="40">
        <v>5</v>
      </c>
      <c r="C4" s="40">
        <v>2</v>
      </c>
      <c r="D4" s="40">
        <v>5</v>
      </c>
      <c r="E4" s="40">
        <v>6</v>
      </c>
      <c r="F4" s="40">
        <v>2</v>
      </c>
      <c r="G4" s="40">
        <v>4</v>
      </c>
      <c r="H4" s="40">
        <v>1</v>
      </c>
      <c r="I4" s="40">
        <v>5</v>
      </c>
      <c r="J4" s="40">
        <v>7</v>
      </c>
    </row>
    <row r="5" spans="1:23" ht="14.5" thickBot="1" x14ac:dyDescent="0.35">
      <c r="C5" s="25" t="s">
        <v>158</v>
      </c>
      <c r="D5" s="25" t="s">
        <v>159</v>
      </c>
      <c r="E5" s="25" t="s">
        <v>160</v>
      </c>
      <c r="F5" s="25" t="s">
        <v>161</v>
      </c>
      <c r="G5" s="25" t="s">
        <v>162</v>
      </c>
      <c r="H5" s="25" t="s">
        <v>163</v>
      </c>
      <c r="I5" s="25" t="s">
        <v>164</v>
      </c>
      <c r="J5" s="25" t="s">
        <v>165</v>
      </c>
      <c r="K5" s="25" t="s">
        <v>166</v>
      </c>
    </row>
    <row r="6" spans="1:23" x14ac:dyDescent="0.3">
      <c r="C6" s="75" t="s">
        <v>152</v>
      </c>
      <c r="D6" s="75"/>
      <c r="E6" s="75"/>
      <c r="F6" s="75"/>
      <c r="G6" s="75"/>
      <c r="H6" s="75"/>
      <c r="I6" s="75"/>
      <c r="J6" s="75"/>
      <c r="K6" s="75"/>
      <c r="O6" s="59" t="s">
        <v>15</v>
      </c>
      <c r="P6" s="60" t="s">
        <v>16</v>
      </c>
      <c r="Q6" s="60" t="s">
        <v>17</v>
      </c>
      <c r="R6" s="60" t="s">
        <v>18</v>
      </c>
      <c r="S6" s="60" t="s">
        <v>19</v>
      </c>
      <c r="T6" s="60" t="s">
        <v>20</v>
      </c>
      <c r="U6" s="60" t="s">
        <v>167</v>
      </c>
      <c r="V6" s="60" t="s">
        <v>168</v>
      </c>
      <c r="W6" s="61" t="s">
        <v>169</v>
      </c>
    </row>
    <row r="7" spans="1:23" x14ac:dyDescent="0.3">
      <c r="C7">
        <v>1</v>
      </c>
      <c r="D7">
        <v>2</v>
      </c>
      <c r="E7">
        <v>3</v>
      </c>
      <c r="F7" s="25">
        <v>4</v>
      </c>
      <c r="G7" s="25">
        <v>5</v>
      </c>
      <c r="H7" s="25">
        <v>6</v>
      </c>
      <c r="I7" s="25">
        <v>7</v>
      </c>
      <c r="J7" s="25">
        <v>8</v>
      </c>
      <c r="K7" s="25">
        <v>9</v>
      </c>
      <c r="O7" s="55" t="s">
        <v>2</v>
      </c>
      <c r="P7" s="49" t="s">
        <v>3</v>
      </c>
      <c r="Q7" s="49" t="s">
        <v>5</v>
      </c>
      <c r="R7" s="49" t="s">
        <v>107</v>
      </c>
      <c r="S7" s="49" t="s">
        <v>4</v>
      </c>
      <c r="T7" s="50" t="s">
        <v>109</v>
      </c>
      <c r="U7" s="49"/>
      <c r="V7" s="49"/>
      <c r="W7" s="56"/>
    </row>
    <row r="8" spans="1:23" ht="14.15" customHeight="1" thickBot="1" x14ac:dyDescent="0.35">
      <c r="A8" s="81" t="s">
        <v>153</v>
      </c>
      <c r="B8">
        <v>1</v>
      </c>
      <c r="C8" s="48">
        <v>0</v>
      </c>
      <c r="D8" s="48">
        <v>0</v>
      </c>
      <c r="E8" s="48">
        <v>1</v>
      </c>
      <c r="F8" s="48"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>
        <f>SUM(C8:K8)</f>
        <v>1</v>
      </c>
      <c r="M8" s="76" t="s">
        <v>117</v>
      </c>
      <c r="O8" s="57"/>
      <c r="P8" s="51" t="s">
        <v>7</v>
      </c>
      <c r="Q8" s="51" t="s">
        <v>6</v>
      </c>
      <c r="R8" s="51" t="s">
        <v>108</v>
      </c>
      <c r="S8" s="51"/>
      <c r="T8" s="51"/>
      <c r="U8" s="51"/>
      <c r="V8" s="51"/>
      <c r="W8" s="58"/>
    </row>
    <row r="9" spans="1:23" ht="14.5" thickBot="1" x14ac:dyDescent="0.35">
      <c r="A9" s="82"/>
      <c r="B9">
        <v>2</v>
      </c>
      <c r="C9">
        <v>0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 s="25">
        <f t="shared" ref="L9:L16" si="0">SUM(C9:K9)</f>
        <v>1</v>
      </c>
      <c r="M9" s="76"/>
      <c r="O9" s="52">
        <v>5</v>
      </c>
      <c r="P9" s="53">
        <v>6</v>
      </c>
      <c r="Q9" s="53">
        <v>8</v>
      </c>
      <c r="R9" s="53">
        <v>6</v>
      </c>
      <c r="S9" s="53">
        <v>5</v>
      </c>
      <c r="T9" s="53">
        <v>7</v>
      </c>
      <c r="U9" s="53"/>
      <c r="V9" s="53"/>
      <c r="W9" s="54"/>
    </row>
    <row r="10" spans="1:23" x14ac:dyDescent="0.3">
      <c r="A10" s="82"/>
      <c r="B10">
        <v>3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1</v>
      </c>
      <c r="K10" s="48">
        <v>0</v>
      </c>
      <c r="L10" s="25">
        <f t="shared" si="0"/>
        <v>1</v>
      </c>
      <c r="M10" s="76"/>
    </row>
    <row r="11" spans="1:23" x14ac:dyDescent="0.3">
      <c r="A11" s="82"/>
      <c r="B11" s="25">
        <v>4</v>
      </c>
      <c r="C11">
        <v>0</v>
      </c>
      <c r="D11">
        <v>0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 s="25">
        <f t="shared" si="0"/>
        <v>1</v>
      </c>
      <c r="M11" s="76"/>
    </row>
    <row r="12" spans="1:23" x14ac:dyDescent="0.3">
      <c r="A12" s="82"/>
      <c r="B12" s="25">
        <v>5</v>
      </c>
      <c r="C12" s="48">
        <v>0</v>
      </c>
      <c r="D12" s="48">
        <v>0</v>
      </c>
      <c r="E12" s="48">
        <v>0</v>
      </c>
      <c r="F12" s="48">
        <v>0</v>
      </c>
      <c r="G12" s="48">
        <v>1</v>
      </c>
      <c r="H12" s="48">
        <v>0</v>
      </c>
      <c r="I12" s="48">
        <v>0</v>
      </c>
      <c r="J12" s="48">
        <v>0</v>
      </c>
      <c r="K12" s="48">
        <v>0</v>
      </c>
      <c r="L12" s="25">
        <f t="shared" si="0"/>
        <v>1</v>
      </c>
      <c r="M12" s="76"/>
    </row>
    <row r="13" spans="1:23" x14ac:dyDescent="0.3">
      <c r="A13" s="82"/>
      <c r="B13" s="25">
        <v>6</v>
      </c>
      <c r="C13">
        <v>0</v>
      </c>
      <c r="D13">
        <v>0</v>
      </c>
      <c r="E13">
        <v>0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 s="25">
        <f t="shared" si="0"/>
        <v>1</v>
      </c>
      <c r="M13" s="76"/>
    </row>
    <row r="14" spans="1:23" x14ac:dyDescent="0.3">
      <c r="A14" s="82"/>
      <c r="B14" s="25">
        <v>7</v>
      </c>
      <c r="C14" s="48">
        <v>0</v>
      </c>
      <c r="D14" s="48">
        <v>0</v>
      </c>
      <c r="E14" s="48">
        <v>0</v>
      </c>
      <c r="F14" s="48">
        <v>0</v>
      </c>
      <c r="G14" s="48">
        <v>0</v>
      </c>
      <c r="H14" s="48">
        <v>0</v>
      </c>
      <c r="I14" s="48">
        <v>1</v>
      </c>
      <c r="J14" s="48">
        <v>0</v>
      </c>
      <c r="K14" s="48">
        <v>0</v>
      </c>
      <c r="L14" s="25">
        <f t="shared" si="0"/>
        <v>1</v>
      </c>
      <c r="M14" s="76"/>
    </row>
    <row r="15" spans="1:23" x14ac:dyDescent="0.3">
      <c r="A15" s="82"/>
      <c r="B15" s="25">
        <v>8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 s="25">
        <f t="shared" si="0"/>
        <v>1</v>
      </c>
      <c r="M15" s="76"/>
    </row>
    <row r="16" spans="1:23" x14ac:dyDescent="0.3">
      <c r="A16" s="82"/>
      <c r="B16" s="25">
        <v>9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1</v>
      </c>
      <c r="L16" s="25">
        <f t="shared" si="0"/>
        <v>1</v>
      </c>
      <c r="M16" s="76"/>
    </row>
    <row r="17" spans="1:13" s="25" customFormat="1" ht="42" x14ac:dyDescent="0.3">
      <c r="A17" s="82"/>
      <c r="B17" s="42" t="s">
        <v>157</v>
      </c>
      <c r="C17" s="25">
        <f>SUM(C8:C16)</f>
        <v>0</v>
      </c>
      <c r="D17" s="25">
        <f t="shared" ref="D17:K17" si="1">SUM(D8:D16)</f>
        <v>0</v>
      </c>
      <c r="E17" s="25">
        <f t="shared" si="1"/>
        <v>1</v>
      </c>
      <c r="F17" s="25">
        <f t="shared" si="1"/>
        <v>2</v>
      </c>
      <c r="G17" s="25">
        <f t="shared" si="1"/>
        <v>2</v>
      </c>
      <c r="H17" s="25">
        <f t="shared" si="1"/>
        <v>0</v>
      </c>
      <c r="I17" s="25">
        <f t="shared" si="1"/>
        <v>2</v>
      </c>
      <c r="J17" s="25">
        <f t="shared" si="1"/>
        <v>1</v>
      </c>
      <c r="K17" s="25">
        <f t="shared" si="1"/>
        <v>1</v>
      </c>
      <c r="M17" s="76"/>
    </row>
    <row r="18" spans="1:13" s="25" customFormat="1" ht="28" x14ac:dyDescent="0.3">
      <c r="A18" s="44"/>
      <c r="B18" s="47" t="s">
        <v>129</v>
      </c>
      <c r="C18" s="48">
        <v>0</v>
      </c>
      <c r="D18" s="48">
        <v>0</v>
      </c>
      <c r="E18" s="48">
        <v>1</v>
      </c>
      <c r="F18" s="48">
        <v>1</v>
      </c>
      <c r="G18" s="48">
        <v>1</v>
      </c>
      <c r="H18" s="48">
        <v>0</v>
      </c>
      <c r="I18" s="48">
        <v>1</v>
      </c>
      <c r="J18" s="48">
        <v>1</v>
      </c>
      <c r="K18" s="48">
        <v>1</v>
      </c>
      <c r="L18" s="48"/>
      <c r="M18" s="76"/>
    </row>
    <row r="19" spans="1:13" x14ac:dyDescent="0.3">
      <c r="A19" s="41"/>
      <c r="B19" s="77" t="s">
        <v>118</v>
      </c>
      <c r="C19">
        <f t="shared" ref="C19:K19" si="2">SUM(C8*$B$4+C9*$C$4+C10*$D$4+C11*$E$4+C12*$F$4+C13*$G$4+C14*$H$4+C15*$I$4+C16*$J$4)</f>
        <v>0</v>
      </c>
      <c r="D19" s="25">
        <f t="shared" si="2"/>
        <v>0</v>
      </c>
      <c r="E19" s="25">
        <f t="shared" si="2"/>
        <v>5</v>
      </c>
      <c r="F19" s="25">
        <f t="shared" si="2"/>
        <v>6</v>
      </c>
      <c r="G19" s="25">
        <f t="shared" si="2"/>
        <v>8</v>
      </c>
      <c r="H19" s="25">
        <f t="shared" si="2"/>
        <v>0</v>
      </c>
      <c r="I19" s="25">
        <f t="shared" si="2"/>
        <v>6</v>
      </c>
      <c r="J19" s="25">
        <f t="shared" si="2"/>
        <v>5</v>
      </c>
      <c r="K19" s="25">
        <f t="shared" si="2"/>
        <v>7</v>
      </c>
      <c r="M19" s="76"/>
    </row>
    <row r="20" spans="1:13" x14ac:dyDescent="0.3">
      <c r="A20" s="41"/>
      <c r="B20" s="77"/>
      <c r="C20" t="s">
        <v>158</v>
      </c>
      <c r="D20" t="s">
        <v>159</v>
      </c>
      <c r="E20" t="s">
        <v>160</v>
      </c>
      <c r="F20" t="s">
        <v>161</v>
      </c>
      <c r="G20" t="s">
        <v>162</v>
      </c>
      <c r="H20" t="s">
        <v>163</v>
      </c>
      <c r="I20" t="s">
        <v>164</v>
      </c>
      <c r="J20" t="s">
        <v>165</v>
      </c>
      <c r="K20" t="s">
        <v>166</v>
      </c>
    </row>
    <row r="21" spans="1:13" x14ac:dyDescent="0.3">
      <c r="A21" s="41"/>
      <c r="B21" s="77"/>
    </row>
    <row r="22" spans="1:13" x14ac:dyDescent="0.3">
      <c r="A22" s="41"/>
      <c r="B22" s="77"/>
    </row>
    <row r="23" spans="1:13" x14ac:dyDescent="0.3">
      <c r="A23" s="41" t="s">
        <v>154</v>
      </c>
      <c r="B23" t="s">
        <v>155</v>
      </c>
      <c r="C23">
        <f>SUM(C18:K18)</f>
        <v>6</v>
      </c>
    </row>
    <row r="24" spans="1:13" ht="14.15" customHeight="1" x14ac:dyDescent="0.3">
      <c r="A24" s="78" t="s">
        <v>119</v>
      </c>
      <c r="B24" s="79" t="s">
        <v>120</v>
      </c>
      <c r="C24" s="79"/>
      <c r="D24" s="79"/>
      <c r="E24" s="79"/>
      <c r="F24" s="79"/>
      <c r="G24" s="79"/>
      <c r="H24" s="79"/>
      <c r="I24" s="79"/>
      <c r="J24" s="79"/>
      <c r="K24" s="79"/>
      <c r="L24" s="79"/>
      <c r="M24">
        <f>9*C18-(SUM(C8:C16))</f>
        <v>0</v>
      </c>
    </row>
    <row r="25" spans="1:13" x14ac:dyDescent="0.3">
      <c r="A25" s="78"/>
      <c r="B25" s="80" t="s">
        <v>121</v>
      </c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25">
        <f>9*D18-(SUM(D8:D16))</f>
        <v>0</v>
      </c>
    </row>
    <row r="26" spans="1:13" x14ac:dyDescent="0.3">
      <c r="A26" s="78"/>
      <c r="B26" s="79" t="s">
        <v>122</v>
      </c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25">
        <f>9*E18-(SUM(E8:E16))</f>
        <v>8</v>
      </c>
    </row>
    <row r="27" spans="1:13" x14ac:dyDescent="0.3">
      <c r="A27" s="78"/>
      <c r="B27" s="79" t="s">
        <v>123</v>
      </c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25">
        <f>9*F18-(SUM(F8:F16))</f>
        <v>7</v>
      </c>
    </row>
    <row r="28" spans="1:13" x14ac:dyDescent="0.3">
      <c r="A28" s="78"/>
      <c r="B28" s="79" t="s">
        <v>124</v>
      </c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25">
        <f>9*G18-(SUM(G8:G16))</f>
        <v>7</v>
      </c>
    </row>
    <row r="29" spans="1:13" x14ac:dyDescent="0.3">
      <c r="A29" s="78"/>
      <c r="B29" s="79" t="s">
        <v>125</v>
      </c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25">
        <f>9*H18-(SUM(H8:H16))</f>
        <v>0</v>
      </c>
    </row>
    <row r="30" spans="1:13" x14ac:dyDescent="0.3">
      <c r="A30" s="78"/>
      <c r="B30" s="79" t="s">
        <v>126</v>
      </c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25">
        <f>9*I18-(SUM(I8:I16))</f>
        <v>7</v>
      </c>
    </row>
    <row r="31" spans="1:13" x14ac:dyDescent="0.3">
      <c r="A31" s="78"/>
      <c r="B31" s="79" t="s">
        <v>127</v>
      </c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25">
        <f>9*J18-(SUM(J8:J16))</f>
        <v>8</v>
      </c>
    </row>
    <row r="32" spans="1:13" x14ac:dyDescent="0.3">
      <c r="A32" s="78"/>
      <c r="B32" s="79" t="s">
        <v>128</v>
      </c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25">
        <f>9*K18-(SUM(K8:K16))</f>
        <v>8</v>
      </c>
    </row>
    <row r="33" spans="1:13" x14ac:dyDescent="0.3">
      <c r="A33" s="41" t="s">
        <v>134</v>
      </c>
      <c r="B33" s="79" t="s">
        <v>130</v>
      </c>
      <c r="C33" s="79"/>
      <c r="D33" s="79"/>
      <c r="E33" s="79"/>
      <c r="F33" s="79"/>
      <c r="G33" s="79"/>
      <c r="H33" s="79"/>
      <c r="I33" s="79"/>
      <c r="J33" s="79"/>
      <c r="K33" s="79"/>
      <c r="L33" s="79"/>
      <c r="M33">
        <f>1*C8+2*D8+3*E8+4*F8+5*G8+6*H8+7*I8+8*J8+9*K8-(1*C10+2*D10+3*E10+4*F10+5*G10+6*H10+7*I10+8*J10+9*K10)</f>
        <v>-5</v>
      </c>
    </row>
    <row r="34" spans="1:13" x14ac:dyDescent="0.3">
      <c r="A34" s="41" t="s">
        <v>135</v>
      </c>
      <c r="B34" s="79" t="s">
        <v>131</v>
      </c>
      <c r="C34" s="79"/>
      <c r="D34" s="79"/>
      <c r="E34" s="79"/>
      <c r="F34" s="79"/>
      <c r="G34" s="79"/>
      <c r="H34" s="79"/>
      <c r="I34" s="79"/>
      <c r="J34" s="79"/>
      <c r="K34" s="79"/>
      <c r="L34" s="79"/>
      <c r="M34">
        <f>1*C8+2*D8+3*E8+4*F8+5*G8+6*H8+7*I8+8*J8+9*K8-(1*C11+2*D11+3*E11+4*F11+5*G11+6*H11+7*I11+8*J11+9*K11)</f>
        <v>-2</v>
      </c>
    </row>
    <row r="35" spans="1:13" x14ac:dyDescent="0.3">
      <c r="A35" s="41" t="s">
        <v>136</v>
      </c>
      <c r="B35" s="79" t="s">
        <v>132</v>
      </c>
      <c r="C35" s="79"/>
      <c r="D35" s="79"/>
      <c r="E35" s="79"/>
      <c r="F35" s="79"/>
      <c r="G35" s="79"/>
      <c r="H35" s="79"/>
      <c r="I35" s="79"/>
      <c r="J35" s="79"/>
      <c r="K35" s="79"/>
      <c r="L35" s="79"/>
      <c r="M35">
        <f>1*C9+2*D9+3*E9+4*F9+5*G9+6*H9+7*I9+8*J9+9*K9-(1*C11+2*D11+3*E11+4*F11+5*G11+6*H11+7*I11+8*J11+9*K11)</f>
        <v>-1</v>
      </c>
    </row>
    <row r="36" spans="1:13" x14ac:dyDescent="0.3">
      <c r="A36" s="41" t="s">
        <v>137</v>
      </c>
      <c r="B36" s="79" t="s">
        <v>133</v>
      </c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25">
        <f>1*C9+2*D9+3*E9+4*F9+5*G9+6*H9+7*I9+8*J9+9*K9-(1*C12+2*D12+3*E12+4*F12+5*G12+6*H12+7*I12+8*J12+9*K12)</f>
        <v>-1</v>
      </c>
    </row>
    <row r="37" spans="1:13" x14ac:dyDescent="0.3">
      <c r="A37" s="41" t="s">
        <v>138</v>
      </c>
      <c r="B37" s="79" t="s">
        <v>139</v>
      </c>
      <c r="C37" s="79"/>
      <c r="D37" s="79"/>
      <c r="E37" s="79"/>
      <c r="F37" s="79"/>
      <c r="G37" s="79"/>
      <c r="H37" s="79"/>
      <c r="I37" s="79"/>
      <c r="J37" s="79"/>
      <c r="K37" s="79"/>
      <c r="L37" s="79"/>
      <c r="M37">
        <f>1*C8+2*D8+3*E8+4*F8+5*G8+6*H8+7*I8+8*J8+9*K8-(1*C13+2*D13+3*E13+4*F13+5*G13+6*H13+7*I13+8*J13+9*K13)</f>
        <v>-1</v>
      </c>
    </row>
    <row r="38" spans="1:13" x14ac:dyDescent="0.3">
      <c r="A38" s="41" t="s">
        <v>140</v>
      </c>
      <c r="B38" s="79" t="s">
        <v>141</v>
      </c>
      <c r="C38" s="79"/>
      <c r="D38" s="79"/>
      <c r="E38" s="79"/>
      <c r="F38" s="79"/>
      <c r="G38" s="79"/>
      <c r="H38" s="79"/>
      <c r="I38" s="79"/>
      <c r="J38" s="79"/>
      <c r="K38" s="79"/>
      <c r="L38" s="79"/>
      <c r="M38">
        <f>1*C9+2*D9+3*E9+4*F9+5*G9+6*H9+7*I9+8*J9+9*K9-(1*C13+2*D13+3*E13+4*F13+5*G13+6*H13+7*I13+8*J13+9*K13)</f>
        <v>0</v>
      </c>
    </row>
    <row r="39" spans="1:13" x14ac:dyDescent="0.3">
      <c r="A39" s="41" t="s">
        <v>144</v>
      </c>
      <c r="B39" s="79" t="s">
        <v>142</v>
      </c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25">
        <f>1*C12+2*D12+3*E12+4*F12+5*G12+6*H12+7*I12+8*J12+9*K12-(1*C14+2*D14+3*E14+4*F14+5*G14+6*H14+7*I14+8*J14+9*K14)</f>
        <v>-2</v>
      </c>
    </row>
    <row r="40" spans="1:13" x14ac:dyDescent="0.3">
      <c r="A40" s="41" t="s">
        <v>145</v>
      </c>
      <c r="B40" s="79" t="s">
        <v>143</v>
      </c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25">
        <f>1*C13+2*D13+3*E13+4*F13+5*G13+6*H13+7*I13+8*J13+9*K13-(1*C14+2*D14+3*E14+4*F14+5*G14+6*H14+7*I14+8*J14+9*K14)</f>
        <v>-3</v>
      </c>
    </row>
    <row r="41" spans="1:13" x14ac:dyDescent="0.3">
      <c r="A41" s="41" t="s">
        <v>146</v>
      </c>
      <c r="B41" s="79" t="s">
        <v>147</v>
      </c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25">
        <f>1*C13+2*D13+3*E13+4*F13+5*G13+6*H13+7*I13+8*J13+9*K13-(1*C15+2*D15+3*E15+4*F15+5*G15+6*H15+7*I15+8*J15+9*K15)</f>
        <v>-3</v>
      </c>
    </row>
    <row r="42" spans="1:13" x14ac:dyDescent="0.3">
      <c r="A42" s="41" t="s">
        <v>148</v>
      </c>
      <c r="B42" s="79" t="s">
        <v>149</v>
      </c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25">
        <f>1*C10+2*D10+3*E10+4*F10+5*G10+6*H10+7*I10+8*J10+9*K10-(1*C16+2*D16+3*E16+4*F16+5*G16+6*H16+7*I16+8*J16+9*K16)</f>
        <v>-1</v>
      </c>
    </row>
    <row r="43" spans="1:13" x14ac:dyDescent="0.3">
      <c r="A43" s="41" t="s">
        <v>151</v>
      </c>
      <c r="B43" s="79" t="s">
        <v>150</v>
      </c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25">
        <f>1*C11+2*D11+3*E11+4*F11+5*G11+6*H11+7*I11+8*J11+9*K11-(1*C16+2*D16+3*E16+4*F16+5*G16+6*H16+7*I16+8*J16+9*K16)</f>
        <v>-4</v>
      </c>
    </row>
    <row r="44" spans="1:13" x14ac:dyDescent="0.3">
      <c r="A44" s="41"/>
      <c r="B44" s="32"/>
    </row>
    <row r="45" spans="1:13" x14ac:dyDescent="0.3">
      <c r="A45" s="41"/>
      <c r="B45" s="32"/>
      <c r="M45" s="25"/>
    </row>
    <row r="46" spans="1:13" x14ac:dyDescent="0.3">
      <c r="A46" s="41"/>
      <c r="B46" s="32"/>
      <c r="M46" s="25"/>
    </row>
    <row r="47" spans="1:13" x14ac:dyDescent="0.3">
      <c r="A47" s="45"/>
      <c r="B47" s="32"/>
      <c r="M47" s="25"/>
    </row>
    <row r="48" spans="1:13" x14ac:dyDescent="0.3">
      <c r="A48" s="45"/>
      <c r="B48" s="32"/>
      <c r="M48" s="25"/>
    </row>
    <row r="49" spans="2:13" x14ac:dyDescent="0.3">
      <c r="B49" s="32"/>
      <c r="M49" s="25"/>
    </row>
    <row r="50" spans="2:13" x14ac:dyDescent="0.3">
      <c r="B50" s="32"/>
      <c r="M50" s="25"/>
    </row>
    <row r="51" spans="2:13" x14ac:dyDescent="0.3">
      <c r="B51" s="32"/>
      <c r="M51" s="25"/>
    </row>
    <row r="52" spans="2:13" x14ac:dyDescent="0.3">
      <c r="B52" s="62"/>
    </row>
    <row r="53" spans="2:13" x14ac:dyDescent="0.3">
      <c r="B53" s="62"/>
    </row>
    <row r="54" spans="2:13" x14ac:dyDescent="0.3">
      <c r="B54" s="62"/>
    </row>
  </sheetData>
  <mergeCells count="34">
    <mergeCell ref="B42:L42"/>
    <mergeCell ref="B43:L43"/>
    <mergeCell ref="A8:A17"/>
    <mergeCell ref="B36:L36"/>
    <mergeCell ref="B37:L37"/>
    <mergeCell ref="B38:L38"/>
    <mergeCell ref="B39:L39"/>
    <mergeCell ref="B40:L40"/>
    <mergeCell ref="B41:L41"/>
    <mergeCell ref="B28:L28"/>
    <mergeCell ref="B29:L29"/>
    <mergeCell ref="B30:L30"/>
    <mergeCell ref="B31:L31"/>
    <mergeCell ref="B32:L32"/>
    <mergeCell ref="B35:L35"/>
    <mergeCell ref="M8:M19"/>
    <mergeCell ref="B19:B22"/>
    <mergeCell ref="A24:A32"/>
    <mergeCell ref="B33:L33"/>
    <mergeCell ref="B34:L34"/>
    <mergeCell ref="B24:L24"/>
    <mergeCell ref="B25:L25"/>
    <mergeCell ref="B26:L26"/>
    <mergeCell ref="B27:L27"/>
    <mergeCell ref="H2:H3"/>
    <mergeCell ref="I2:I3"/>
    <mergeCell ref="J2:J3"/>
    <mergeCell ref="C6:K6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FD771E-81FF-4D19-AEAC-21B02EBD39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INPUT-OUTPUT</vt:lpstr>
      <vt:lpstr>Find k opt</vt:lpstr>
      <vt:lpstr>sortByWeight</vt:lpstr>
      <vt:lpstr>solver part B</vt:lpstr>
      <vt:lpstr>station1</vt:lpstr>
      <vt:lpstr>station2</vt:lpstr>
      <vt:lpstr>station3</vt:lpstr>
      <vt:lpstr>station4</vt:lpstr>
      <vt:lpstr>station5</vt:lpstr>
      <vt:lpstr>station6</vt:lpstr>
      <vt:lpstr>station7</vt:lpstr>
      <vt:lpstr>station8</vt:lpstr>
      <vt:lpstr>station9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Yael Konforti</dc:creator>
  <cp:lastModifiedBy>sheli</cp:lastModifiedBy>
  <dcterms:created xsi:type="dcterms:W3CDTF">2017-10-16T13:47:21Z</dcterms:created>
  <dcterms:modified xsi:type="dcterms:W3CDTF">2017-12-30T10:10:42Z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5efb23fb-69ea-4c42-b34d-da66e3330051</vt:lpwstr>
  </property>
</Properties>
</file>